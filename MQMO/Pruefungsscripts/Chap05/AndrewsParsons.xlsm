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DieseArbeitsmappe" defaultThemeVersion="124226"/>
  <bookViews>
    <workbookView xWindow="240" yWindow="105" windowWidth="14805" windowHeight="8010"/>
  </bookViews>
  <sheets>
    <sheet name="Tabelle1" sheetId="1" r:id="rId1"/>
    <sheet name="Tabelle2" sheetId="2" r:id="rId2"/>
    <sheet name="Tabelle3" sheetId="3" r:id="rId3"/>
  </sheets>
  <calcPr calcId="145621"/>
</workbook>
</file>

<file path=xl/calcChain.xml><?xml version="1.0" encoding="utf-8"?>
<calcChain xmlns="http://schemas.openxmlformats.org/spreadsheetml/2006/main">
  <c r="H125" i="1" l="1"/>
  <c r="B27" i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26" i="1"/>
  <c r="B13" i="1"/>
  <c r="G7" i="1"/>
  <c r="G6" i="1"/>
</calcChain>
</file>

<file path=xl/sharedStrings.xml><?xml version="1.0" encoding="utf-8"?>
<sst xmlns="http://schemas.openxmlformats.org/spreadsheetml/2006/main" count="36" uniqueCount="35">
  <si>
    <t>Bestimmung des Agentenbedarfs in einem Call Center</t>
  </si>
  <si>
    <t>durch eine Kostenoptimierung</t>
  </si>
  <si>
    <t xml:space="preserve">(Establishing Telephone-Agent Staffing Levels through Economic Optimization, </t>
  </si>
  <si>
    <t>B. Andrews, H. Parsons, Interfaces 23, 2 (1993)14-20)</t>
  </si>
  <si>
    <t>Ankunftsrate (pro Stunde)</t>
  </si>
  <si>
    <t>Mittl.Anruf-Zwischenzeit</t>
  </si>
  <si>
    <t>Bedienungsrate (pro Stunde)</t>
  </si>
  <si>
    <t>Mittl. Bedienungsdauer (Min.)</t>
  </si>
  <si>
    <t>Anteil der Anrufe, die eine Bestellung aufgeben</t>
  </si>
  <si>
    <t>Mittlerer Wert einer Bestellung</t>
  </si>
  <si>
    <t>W'keit, dass ein Anrufer permanent aufgibt</t>
  </si>
  <si>
    <t>B0 Koeffizient</t>
  </si>
  <si>
    <r>
      <t xml:space="preserve">Anteil </t>
    </r>
    <r>
      <rPr>
        <i/>
        <sz val="10"/>
        <rFont val="Arial"/>
        <family val="2"/>
      </rPr>
      <t>v</t>
    </r>
    <r>
      <rPr>
        <sz val="11"/>
        <color theme="1"/>
        <rFont val="Calibri"/>
        <family val="2"/>
        <scheme val="minor"/>
      </rPr>
      <t>(</t>
    </r>
    <r>
      <rPr>
        <i/>
        <sz val="10"/>
        <rFont val="Arial"/>
        <family val="2"/>
      </rPr>
      <t>s</t>
    </r>
    <r>
      <rPr>
        <sz val="11"/>
        <color theme="1"/>
        <rFont val="Calibri"/>
        <family val="2"/>
        <scheme val="minor"/>
      </rPr>
      <t>) der Anrufe, die aufgeben = max(0, B0+ B1*TSF(s)/100)</t>
    </r>
  </si>
  <si>
    <t>B1 Koeffizient</t>
  </si>
  <si>
    <r>
      <t>Zeit t</t>
    </r>
    <r>
      <rPr>
        <vertAlign val="subscript"/>
        <sz val="10"/>
        <rFont val="Arial"/>
        <family val="2"/>
      </rPr>
      <t>TSF</t>
    </r>
    <r>
      <rPr>
        <sz val="11"/>
        <color theme="1"/>
        <rFont val="Calibri"/>
        <family val="2"/>
        <scheme val="minor"/>
      </rPr>
      <t xml:space="preserve"> für Berechnung des TSF (in der Regel 20 Sek. =.333 Minuten)</t>
    </r>
  </si>
  <si>
    <t>Ansagedauer (Minuten)</t>
  </si>
  <si>
    <t>Mittlere Kommunikationskosten (pro Stunde)</t>
  </si>
  <si>
    <t>Salärkosten pro Agent und Stunde</t>
  </si>
  <si>
    <t>Kosten ver. Anr.</t>
  </si>
  <si>
    <t>Kosten Komm.</t>
  </si>
  <si>
    <t>Kosten Pers.</t>
  </si>
  <si>
    <t>Kosten-Total</t>
  </si>
  <si>
    <t>Anzahl Agenten</t>
  </si>
  <si>
    <t>TSF</t>
  </si>
  <si>
    <t>Kosten C1</t>
  </si>
  <si>
    <t>Kosten C2</t>
  </si>
  <si>
    <t>Kosten C3</t>
  </si>
  <si>
    <t>W'keit, dass</t>
  </si>
  <si>
    <t>(verlorene</t>
  </si>
  <si>
    <t>(Kommuni-</t>
  </si>
  <si>
    <t>(Personal)</t>
  </si>
  <si>
    <t>s</t>
  </si>
  <si>
    <r>
      <t>(W</t>
    </r>
    <r>
      <rPr>
        <vertAlign val="subscript"/>
        <sz val="10"/>
        <rFont val="Arial"/>
        <family val="2"/>
      </rPr>
      <t xml:space="preserve">q 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 xml:space="preserve">£ </t>
    </r>
    <r>
      <rPr>
        <sz val="10"/>
        <rFont val="Arial"/>
        <family val="2"/>
      </rPr>
      <t>t</t>
    </r>
    <r>
      <rPr>
        <vertAlign val="subscript"/>
        <sz val="10"/>
        <rFont val="Arial"/>
        <family val="2"/>
      </rPr>
      <t>TSF</t>
    </r>
    <r>
      <rPr>
        <sz val="10"/>
        <rFont val="Arial"/>
        <family val="2"/>
      </rPr>
      <t>)</t>
    </r>
  </si>
  <si>
    <t>Anrufe)</t>
  </si>
  <si>
    <t>kation)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</si>
</sst>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3" borderId="0" xfId="0" applyFill="1"/>
    <xf numFmtId="2" fontId="0" fillId="4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3" borderId="0" xfId="0" applyFill="1" applyAlignment="1">
      <alignment horizontal="right"/>
    </xf>
    <xf numFmtId="0" fontId="0" fillId="0" borderId="0" xfId="0" applyFill="1" applyBorder="1"/>
    <xf numFmtId="0" fontId="0" fillId="0" borderId="0" xfId="0" applyBorder="1"/>
    <xf numFmtId="0" fontId="0" fillId="3" borderId="0" xfId="0" applyFill="1" applyAlignment="1">
      <alignment horizontal="center" vertical="justify"/>
    </xf>
    <xf numFmtId="0" fontId="0" fillId="3" borderId="2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justify"/>
    </xf>
    <xf numFmtId="0" fontId="3" fillId="3" borderId="2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7" fillId="5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7" fillId="5" borderId="0" xfId="0" applyFont="1" applyFill="1"/>
    <xf numFmtId="164" fontId="1" fillId="0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1376862205285"/>
          <c:y val="9.7458836965832296E-2"/>
          <c:w val="0.81587816074806918"/>
          <c:h val="0.63061600389656192"/>
        </c:manualLayout>
      </c:layout>
      <c:scatterChart>
        <c:scatterStyle val="smoothMarker"/>
        <c:varyColors val="0"/>
        <c:ser>
          <c:idx val="0"/>
          <c:order val="0"/>
          <c:tx>
            <c:v>Kosten ver. Anr.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Tabelle1!$D$25:$D$124</c:f>
              <c:numCache>
                <c:formatCode>0.000</c:formatCode>
                <c:ptCount val="100"/>
                <c:pt idx="16">
                  <c:v>0.1451355269023028</c:v>
                </c:pt>
                <c:pt idx="17">
                  <c:v>0.39872304945841841</c:v>
                </c:pt>
                <c:pt idx="18">
                  <c:v>0.58662193339972546</c:v>
                </c:pt>
                <c:pt idx="19">
                  <c:v>0.72258913068581987</c:v>
                </c:pt>
                <c:pt idx="20">
                  <c:v>0.81850732291468931</c:v>
                </c:pt>
                <c:pt idx="21">
                  <c:v>0.8843688808068314</c:v>
                </c:pt>
                <c:pt idx="22">
                  <c:v>0.92832514404322097</c:v>
                </c:pt>
                <c:pt idx="23">
                  <c:v>0.95680674870218452</c:v>
                </c:pt>
                <c:pt idx="24">
                  <c:v>0.97470762999086968</c:v>
                </c:pt>
                <c:pt idx="25">
                  <c:v>0.98561397677437523</c:v>
                </c:pt>
                <c:pt idx="26">
                  <c:v>0.99205301692124759</c:v>
                </c:pt>
                <c:pt idx="27">
                  <c:v>0.99573638796269093</c:v>
                </c:pt>
                <c:pt idx="28">
                  <c:v>0.99777806792696389</c:v>
                </c:pt>
                <c:pt idx="29">
                  <c:v>0.99887494286689671</c:v>
                </c:pt>
                <c:pt idx="30">
                  <c:v>0.99944631790720373</c:v>
                </c:pt>
                <c:pt idx="31">
                  <c:v>0.99973504715416561</c:v>
                </c:pt>
                <c:pt idx="32">
                  <c:v>0.99987666128226016</c:v>
                </c:pt>
                <c:pt idx="33">
                  <c:v>0.99994411862105015</c:v>
                </c:pt>
                <c:pt idx="34">
                  <c:v>0.99997534562736556</c:v>
                </c:pt>
                <c:pt idx="35">
                  <c:v>0.99998940242976764</c:v>
                </c:pt>
                <c:pt idx="36">
                  <c:v>0.99999555950459695</c:v>
                </c:pt>
                <c:pt idx="37">
                  <c:v>0.99999818534022455</c:v>
                </c:pt>
                <c:pt idx="38">
                  <c:v>0.99999927636337727</c:v>
                </c:pt>
                <c:pt idx="39">
                  <c:v>0.99999971827453993</c:v>
                </c:pt>
                <c:pt idx="40">
                  <c:v>0.99999989286641844</c:v>
                </c:pt>
                <c:pt idx="41">
                  <c:v>0.99999996018677262</c:v>
                </c:pt>
                <c:pt idx="42">
                  <c:v>0.9999999855344861</c:v>
                </c:pt>
                <c:pt idx="43">
                  <c:v>0.99999999485907087</c:v>
                </c:pt>
                <c:pt idx="44">
                  <c:v>0.99999999821210839</c:v>
                </c:pt>
                <c:pt idx="45">
                  <c:v>0.99999999939128048</c:v>
                </c:pt>
                <c:pt idx="46">
                  <c:v>0.99999999979702225</c:v>
                </c:pt>
                <c:pt idx="47">
                  <c:v>0.9999999999336856</c:v>
                </c:pt>
                <c:pt idx="48">
                  <c:v>0.99999999997876454</c:v>
                </c:pt>
                <c:pt idx="49">
                  <c:v>0.99999999999333233</c:v>
                </c:pt>
                <c:pt idx="50">
                  <c:v>0.99999999999794642</c:v>
                </c:pt>
                <c:pt idx="51">
                  <c:v>0.99999999999937939</c:v>
                </c:pt>
                <c:pt idx="52">
                  <c:v>0.99999999999981593</c:v>
                </c:pt>
                <c:pt idx="53">
                  <c:v>0.99999999999994638</c:v>
                </c:pt>
                <c:pt idx="54">
                  <c:v>0.99999999999998468</c:v>
                </c:pt>
                <c:pt idx="55">
                  <c:v>0.99999999999999567</c:v>
                </c:pt>
                <c:pt idx="56">
                  <c:v>0.99999999999999878</c:v>
                </c:pt>
                <c:pt idx="57">
                  <c:v>0.99999999999999967</c:v>
                </c:pt>
                <c:pt idx="58">
                  <c:v>0.99999999999999989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v>Kosten Komm.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yVal>
            <c:numRef>
              <c:f>Tabelle1!$F$25:$F$124</c:f>
              <c:numCache>
                <c:formatCode>0.000</c:formatCode>
                <c:ptCount val="100"/>
                <c:pt idx="16">
                  <c:v>13.20700143352007</c:v>
                </c:pt>
                <c:pt idx="17">
                  <c:v>11.235520078694666</c:v>
                </c:pt>
                <c:pt idx="18">
                  <c:v>9.5990626473033096</c:v>
                </c:pt>
                <c:pt idx="19">
                  <c:v>8.2460500318261722</c:v>
                </c:pt>
                <c:pt idx="20">
                  <c:v>7.1307799857497889</c:v>
                </c:pt>
                <c:pt idx="21">
                  <c:v>6.2131217857204213</c:v>
                </c:pt>
                <c:pt idx="22">
                  <c:v>5.458243964462512</c:v>
                </c:pt>
                <c:pt idx="23">
                  <c:v>4.8363270319393807</c:v>
                </c:pt>
                <c:pt idx="24">
                  <c:v>4.3222256510774315</c:v>
                </c:pt>
                <c:pt idx="25">
                  <c:v>3.8950643624220453</c:v>
                </c:pt>
                <c:pt idx="26">
                  <c:v>3.5377720894553697</c:v>
                </c:pt>
                <c:pt idx="27">
                  <c:v>3.2365774313234517</c:v>
                </c:pt>
                <c:pt idx="28">
                  <c:v>2.9804953715436793</c:v>
                </c:pt>
                <c:pt idx="29">
                  <c:v>2.7608359408866083</c:v>
                </c:pt>
                <c:pt idx="30">
                  <c:v>2.5707587726805601</c:v>
                </c:pt>
                <c:pt idx="31">
                  <c:v>2.4048878454459888</c:v>
                </c:pt>
                <c:pt idx="32">
                  <c:v>2.2589912060393673</c:v>
                </c:pt>
                <c:pt idx="33">
                  <c:v>2.1297231076840459</c:v>
                </c:pt>
                <c:pt idx="34">
                  <c:v>2.0144214658317035</c:v>
                </c:pt>
                <c:pt idx="35">
                  <c:v>1.9109515627070088</c:v>
                </c:pt>
                <c:pt idx="36">
                  <c:v>1.8175867993224133</c:v>
                </c:pt>
                <c:pt idx="37">
                  <c:v>1.7329182275418298</c:v>
                </c:pt>
                <c:pt idx="38">
                  <c:v>1.6557859786700884</c:v>
                </c:pt>
                <c:pt idx="39">
                  <c:v>1.585227141299054</c:v>
                </c:pt>
                <c:pt idx="40">
                  <c:v>1.5204359218008023</c:v>
                </c:pt>
                <c:pt idx="41">
                  <c:v>1.4607329688728512</c:v>
                </c:pt>
                <c:pt idx="42">
                  <c:v>1.4055415565956069</c:v>
                </c:pt>
                <c:pt idx="43">
                  <c:v>1.3543689303754252</c:v>
                </c:pt>
                <c:pt idx="44">
                  <c:v>1.3067915685568283</c:v>
                </c:pt>
                <c:pt idx="45">
                  <c:v>1.2624434387486125</c:v>
                </c:pt>
                <c:pt idx="46">
                  <c:v>1.2210065645007846</c:v>
                </c:pt>
                <c:pt idx="47">
                  <c:v>1.1822033898153039</c:v>
                </c:pt>
                <c:pt idx="48">
                  <c:v>1.1457905544103053</c:v>
                </c:pt>
                <c:pt idx="49">
                  <c:v>1.1115537848592627</c:v>
                </c:pt>
                <c:pt idx="50">
                  <c:v>1.0793036750479883</c:v>
                </c:pt>
                <c:pt idx="51">
                  <c:v>1.0488721804510253</c:v>
                </c:pt>
                <c:pt idx="52">
                  <c:v>1.0201096892138659</c:v>
                </c:pt>
                <c:pt idx="53">
                  <c:v>0.99288256227757277</c:v>
                </c:pt>
                <c:pt idx="54">
                  <c:v>0.9670710571923723</c:v>
                </c:pt>
                <c:pt idx="55">
                  <c:v>0.9425675675675671</c:v>
                </c:pt>
                <c:pt idx="56">
                  <c:v>0.91927512355848429</c:v>
                </c:pt>
                <c:pt idx="57">
                  <c:v>0.89710610932475887</c:v>
                </c:pt>
                <c:pt idx="58">
                  <c:v>0.87598116169544737</c:v>
                </c:pt>
                <c:pt idx="59">
                  <c:v>0.85582822085889576</c:v>
                </c:pt>
                <c:pt idx="60">
                  <c:v>0.83658170914542729</c:v>
                </c:pt>
                <c:pt idx="61">
                  <c:v>0.81818181818181823</c:v>
                </c:pt>
                <c:pt idx="62">
                  <c:v>0.80057388809182217</c:v>
                </c:pt>
                <c:pt idx="63">
                  <c:v>0.78370786516853919</c:v>
                </c:pt>
                <c:pt idx="64">
                  <c:v>0.76753782668500681</c:v>
                </c:pt>
                <c:pt idx="65">
                  <c:v>0.75202156334231818</c:v>
                </c:pt>
                <c:pt idx="66">
                  <c:v>0.7371202113606341</c:v>
                </c:pt>
                <c:pt idx="67">
                  <c:v>0.72279792746114002</c:v>
                </c:pt>
                <c:pt idx="68">
                  <c:v>0.70902160101651845</c:v>
                </c:pt>
                <c:pt idx="69">
                  <c:v>0.69576059850374061</c:v>
                </c:pt>
                <c:pt idx="70">
                  <c:v>0.6829865361077111</c:v>
                </c:pt>
                <c:pt idx="71">
                  <c:v>0.67067307692307687</c:v>
                </c:pt>
                <c:pt idx="72">
                  <c:v>0.65879574970484056</c:v>
                </c:pt>
                <c:pt idx="73">
                  <c:v>0.64733178654292345</c:v>
                </c:pt>
                <c:pt idx="74">
                  <c:v>0.63625997719498295</c:v>
                </c:pt>
                <c:pt idx="75">
                  <c:v>0.62556053811659185</c:v>
                </c:pt>
                <c:pt idx="76">
                  <c:v>0.61521499448732087</c:v>
                </c:pt>
                <c:pt idx="77">
                  <c:v>0.60520607375271152</c:v>
                </c:pt>
                <c:pt idx="78">
                  <c:v>0.59551760939167542</c:v>
                </c:pt>
                <c:pt idx="79">
                  <c:v>0.58613445378151252</c:v>
                </c:pt>
                <c:pt idx="80">
                  <c:v>0.57704239917269906</c:v>
                </c:pt>
                <c:pt idx="81">
                  <c:v>0.56822810590631356</c:v>
                </c:pt>
                <c:pt idx="82">
                  <c:v>0.55967903711133404</c:v>
                </c:pt>
                <c:pt idx="83">
                  <c:v>0.55138339920948609</c:v>
                </c:pt>
                <c:pt idx="84">
                  <c:v>0.54333008763388513</c:v>
                </c:pt>
                <c:pt idx="85">
                  <c:v>0.53550863723608444</c:v>
                </c:pt>
                <c:pt idx="86">
                  <c:v>0.52790917691579942</c:v>
                </c:pt>
                <c:pt idx="87">
                  <c:v>0.52052238805970152</c:v>
                </c:pt>
                <c:pt idx="88">
                  <c:v>0.51333946642134309</c:v>
                </c:pt>
                <c:pt idx="89">
                  <c:v>0.50635208711433755</c:v>
                </c:pt>
                <c:pt idx="90">
                  <c:v>0.49955237242614142</c:v>
                </c:pt>
                <c:pt idx="91">
                  <c:v>0.49293286219081273</c:v>
                </c:pt>
                <c:pt idx="92">
                  <c:v>0.48648648648648651</c:v>
                </c:pt>
                <c:pt idx="93">
                  <c:v>0.48020654044750433</c:v>
                </c:pt>
                <c:pt idx="94">
                  <c:v>0.47408666100254887</c:v>
                </c:pt>
                <c:pt idx="95">
                  <c:v>0.46812080536912754</c:v>
                </c:pt>
                <c:pt idx="96">
                  <c:v>0.46230323115161553</c:v>
                </c:pt>
                <c:pt idx="97">
                  <c:v>0.45662847790507366</c:v>
                </c:pt>
                <c:pt idx="98">
                  <c:v>0.45109135004042039</c:v>
                </c:pt>
                <c:pt idx="99">
                  <c:v>0.44568690095846641</c:v>
                </c:pt>
              </c:numCache>
            </c:numRef>
          </c:yVal>
          <c:smooth val="1"/>
        </c:ser>
        <c:ser>
          <c:idx val="2"/>
          <c:order val="2"/>
          <c:tx>
            <c:v>Kosten Pers.</c:v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yVal>
            <c:numRef>
              <c:f>Tabelle1!$G$25:$G$124</c:f>
              <c:numCache>
                <c:formatCode>0.000</c:formatCode>
                <c:ptCount val="100"/>
                <c:pt idx="0">
                  <c:v>7.5</c:v>
                </c:pt>
                <c:pt idx="1">
                  <c:v>15</c:v>
                </c:pt>
                <c:pt idx="2">
                  <c:v>22.5</c:v>
                </c:pt>
                <c:pt idx="3">
                  <c:v>30</c:v>
                </c:pt>
                <c:pt idx="4">
                  <c:v>37.5</c:v>
                </c:pt>
                <c:pt idx="5">
                  <c:v>45</c:v>
                </c:pt>
                <c:pt idx="6">
                  <c:v>52.5</c:v>
                </c:pt>
                <c:pt idx="7">
                  <c:v>60</c:v>
                </c:pt>
                <c:pt idx="8">
                  <c:v>67.5</c:v>
                </c:pt>
                <c:pt idx="9">
                  <c:v>75</c:v>
                </c:pt>
                <c:pt idx="10">
                  <c:v>82.5</c:v>
                </c:pt>
                <c:pt idx="11">
                  <c:v>90</c:v>
                </c:pt>
                <c:pt idx="12">
                  <c:v>97.5</c:v>
                </c:pt>
                <c:pt idx="13">
                  <c:v>105</c:v>
                </c:pt>
                <c:pt idx="14">
                  <c:v>112.5</c:v>
                </c:pt>
                <c:pt idx="15">
                  <c:v>120</c:v>
                </c:pt>
                <c:pt idx="16">
                  <c:v>127.5</c:v>
                </c:pt>
                <c:pt idx="17">
                  <c:v>135</c:v>
                </c:pt>
                <c:pt idx="18">
                  <c:v>142.5</c:v>
                </c:pt>
                <c:pt idx="19">
                  <c:v>150</c:v>
                </c:pt>
                <c:pt idx="20">
                  <c:v>157.5</c:v>
                </c:pt>
                <c:pt idx="21">
                  <c:v>165</c:v>
                </c:pt>
                <c:pt idx="22">
                  <c:v>172.5</c:v>
                </c:pt>
                <c:pt idx="23">
                  <c:v>180</c:v>
                </c:pt>
                <c:pt idx="24">
                  <c:v>187.5</c:v>
                </c:pt>
                <c:pt idx="25">
                  <c:v>195</c:v>
                </c:pt>
                <c:pt idx="26">
                  <c:v>202.5</c:v>
                </c:pt>
                <c:pt idx="27">
                  <c:v>210</c:v>
                </c:pt>
                <c:pt idx="28">
                  <c:v>217.5</c:v>
                </c:pt>
                <c:pt idx="29">
                  <c:v>225</c:v>
                </c:pt>
                <c:pt idx="30">
                  <c:v>232.5</c:v>
                </c:pt>
                <c:pt idx="31">
                  <c:v>240</c:v>
                </c:pt>
                <c:pt idx="32">
                  <c:v>247.5</c:v>
                </c:pt>
                <c:pt idx="33">
                  <c:v>255</c:v>
                </c:pt>
                <c:pt idx="34">
                  <c:v>262.5</c:v>
                </c:pt>
                <c:pt idx="35">
                  <c:v>270</c:v>
                </c:pt>
                <c:pt idx="36">
                  <c:v>277.5</c:v>
                </c:pt>
                <c:pt idx="37">
                  <c:v>285</c:v>
                </c:pt>
                <c:pt idx="38">
                  <c:v>292.5</c:v>
                </c:pt>
                <c:pt idx="39">
                  <c:v>300</c:v>
                </c:pt>
                <c:pt idx="40">
                  <c:v>307.5</c:v>
                </c:pt>
                <c:pt idx="41">
                  <c:v>315</c:v>
                </c:pt>
                <c:pt idx="42">
                  <c:v>322.5</c:v>
                </c:pt>
                <c:pt idx="43">
                  <c:v>330</c:v>
                </c:pt>
                <c:pt idx="44">
                  <c:v>337.5</c:v>
                </c:pt>
                <c:pt idx="45">
                  <c:v>345</c:v>
                </c:pt>
                <c:pt idx="46">
                  <c:v>352.5</c:v>
                </c:pt>
                <c:pt idx="47">
                  <c:v>360</c:v>
                </c:pt>
                <c:pt idx="48">
                  <c:v>367.5</c:v>
                </c:pt>
                <c:pt idx="49">
                  <c:v>375</c:v>
                </c:pt>
                <c:pt idx="50">
                  <c:v>382.5</c:v>
                </c:pt>
                <c:pt idx="51">
                  <c:v>390</c:v>
                </c:pt>
                <c:pt idx="52">
                  <c:v>397.5</c:v>
                </c:pt>
                <c:pt idx="53">
                  <c:v>405</c:v>
                </c:pt>
                <c:pt idx="54">
                  <c:v>412.5</c:v>
                </c:pt>
                <c:pt idx="55">
                  <c:v>420</c:v>
                </c:pt>
                <c:pt idx="56">
                  <c:v>427.5</c:v>
                </c:pt>
                <c:pt idx="57">
                  <c:v>435</c:v>
                </c:pt>
                <c:pt idx="58">
                  <c:v>442.5</c:v>
                </c:pt>
                <c:pt idx="59">
                  <c:v>450</c:v>
                </c:pt>
                <c:pt idx="60">
                  <c:v>457.5</c:v>
                </c:pt>
                <c:pt idx="61">
                  <c:v>465</c:v>
                </c:pt>
                <c:pt idx="62">
                  <c:v>472.5</c:v>
                </c:pt>
                <c:pt idx="63">
                  <c:v>480</c:v>
                </c:pt>
                <c:pt idx="64">
                  <c:v>487.5</c:v>
                </c:pt>
                <c:pt idx="65">
                  <c:v>495</c:v>
                </c:pt>
                <c:pt idx="66">
                  <c:v>502.5</c:v>
                </c:pt>
                <c:pt idx="67">
                  <c:v>510</c:v>
                </c:pt>
                <c:pt idx="68">
                  <c:v>517.5</c:v>
                </c:pt>
                <c:pt idx="69">
                  <c:v>525</c:v>
                </c:pt>
                <c:pt idx="70">
                  <c:v>532.5</c:v>
                </c:pt>
                <c:pt idx="71">
                  <c:v>540</c:v>
                </c:pt>
                <c:pt idx="72">
                  <c:v>547.5</c:v>
                </c:pt>
                <c:pt idx="73">
                  <c:v>555</c:v>
                </c:pt>
                <c:pt idx="74">
                  <c:v>562.5</c:v>
                </c:pt>
                <c:pt idx="75">
                  <c:v>570</c:v>
                </c:pt>
                <c:pt idx="76">
                  <c:v>577.5</c:v>
                </c:pt>
                <c:pt idx="77">
                  <c:v>585</c:v>
                </c:pt>
                <c:pt idx="78">
                  <c:v>592.5</c:v>
                </c:pt>
                <c:pt idx="79">
                  <c:v>600</c:v>
                </c:pt>
                <c:pt idx="80">
                  <c:v>607.5</c:v>
                </c:pt>
                <c:pt idx="81">
                  <c:v>615</c:v>
                </c:pt>
                <c:pt idx="82">
                  <c:v>622.5</c:v>
                </c:pt>
                <c:pt idx="83">
                  <c:v>630</c:v>
                </c:pt>
                <c:pt idx="84">
                  <c:v>637.5</c:v>
                </c:pt>
                <c:pt idx="85">
                  <c:v>645</c:v>
                </c:pt>
                <c:pt idx="86">
                  <c:v>652.5</c:v>
                </c:pt>
                <c:pt idx="87">
                  <c:v>660</c:v>
                </c:pt>
                <c:pt idx="88">
                  <c:v>667.5</c:v>
                </c:pt>
                <c:pt idx="89">
                  <c:v>675</c:v>
                </c:pt>
                <c:pt idx="90">
                  <c:v>682.5</c:v>
                </c:pt>
                <c:pt idx="91">
                  <c:v>690</c:v>
                </c:pt>
                <c:pt idx="92">
                  <c:v>697.5</c:v>
                </c:pt>
                <c:pt idx="93">
                  <c:v>705</c:v>
                </c:pt>
                <c:pt idx="94">
                  <c:v>712.5</c:v>
                </c:pt>
                <c:pt idx="95">
                  <c:v>720</c:v>
                </c:pt>
                <c:pt idx="96">
                  <c:v>727.5</c:v>
                </c:pt>
                <c:pt idx="97">
                  <c:v>735</c:v>
                </c:pt>
                <c:pt idx="98">
                  <c:v>742.5</c:v>
                </c:pt>
                <c:pt idx="99">
                  <c:v>750</c:v>
                </c:pt>
              </c:numCache>
            </c:numRef>
          </c:yVal>
          <c:smooth val="1"/>
        </c:ser>
        <c:ser>
          <c:idx val="3"/>
          <c:order val="3"/>
          <c:tx>
            <c:v>Kosten-Total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Tabelle1!$H$25:$H$124</c:f>
              <c:numCache>
                <c:formatCode>0.000</c:formatCode>
                <c:ptCount val="100"/>
                <c:pt idx="16">
                  <c:v>193.51809365271205</c:v>
                </c:pt>
                <c:pt idx="17">
                  <c:v>183.17765288537367</c:v>
                </c:pt>
                <c:pt idx="18">
                  <c:v>177.28288915852463</c:v>
                </c:pt>
                <c:pt idx="19">
                  <c:v>174.92134302602983</c:v>
                </c:pt>
                <c:pt idx="20">
                  <c:v>175.30371969356602</c:v>
                </c:pt>
                <c:pt idx="21">
                  <c:v>177.76458746161146</c:v>
                </c:pt>
                <c:pt idx="22">
                  <c:v>181.75902163254887</c:v>
                </c:pt>
                <c:pt idx="23">
                  <c:v>186.85478740073387</c:v>
                </c:pt>
                <c:pt idx="24">
                  <c:v>192.72048753472959</c:v>
                </c:pt>
                <c:pt idx="25">
                  <c:v>199.11083062207146</c:v>
                </c:pt>
                <c:pt idx="26">
                  <c:v>206.03777208945536</c:v>
                </c:pt>
                <c:pt idx="27">
                  <c:v>213.23657743132344</c:v>
                </c:pt>
                <c:pt idx="28">
                  <c:v>220.48049537154367</c:v>
                </c:pt>
                <c:pt idx="29">
                  <c:v>227.76083594088661</c:v>
                </c:pt>
                <c:pt idx="30">
                  <c:v>235.07075877268056</c:v>
                </c:pt>
                <c:pt idx="31">
                  <c:v>242.40488784544598</c:v>
                </c:pt>
                <c:pt idx="32">
                  <c:v>249.75899120603935</c:v>
                </c:pt>
                <c:pt idx="33">
                  <c:v>257.12972310768407</c:v>
                </c:pt>
                <c:pt idx="34">
                  <c:v>264.51442146583173</c:v>
                </c:pt>
                <c:pt idx="35">
                  <c:v>271.910951562707</c:v>
                </c:pt>
                <c:pt idx="36">
                  <c:v>279.31758679932244</c:v>
                </c:pt>
                <c:pt idx="37">
                  <c:v>286.7329182275418</c:v>
                </c:pt>
                <c:pt idx="38">
                  <c:v>294.15578597867011</c:v>
                </c:pt>
                <c:pt idx="39">
                  <c:v>301.58522714129907</c:v>
                </c:pt>
                <c:pt idx="40">
                  <c:v>309.02043592180081</c:v>
                </c:pt>
                <c:pt idx="41">
                  <c:v>316.46073296887283</c:v>
                </c:pt>
                <c:pt idx="42">
                  <c:v>323.90554155659561</c:v>
                </c:pt>
                <c:pt idx="43">
                  <c:v>331.35436893037541</c:v>
                </c:pt>
                <c:pt idx="44">
                  <c:v>338.80679156855683</c:v>
                </c:pt>
                <c:pt idx="45">
                  <c:v>346.26244343874862</c:v>
                </c:pt>
                <c:pt idx="46">
                  <c:v>353.72100656450078</c:v>
                </c:pt>
                <c:pt idx="47">
                  <c:v>361.1822033898153</c:v>
                </c:pt>
                <c:pt idx="48">
                  <c:v>368.64579055441033</c:v>
                </c:pt>
                <c:pt idx="49">
                  <c:v>376.11155378485927</c:v>
                </c:pt>
                <c:pt idx="50">
                  <c:v>383.57930367504798</c:v>
                </c:pt>
                <c:pt idx="51">
                  <c:v>391.04887218045104</c:v>
                </c:pt>
                <c:pt idx="52">
                  <c:v>398.52010968921388</c:v>
                </c:pt>
                <c:pt idx="53">
                  <c:v>405.9928825622776</c:v>
                </c:pt>
                <c:pt idx="54">
                  <c:v>413.46707105719236</c:v>
                </c:pt>
                <c:pt idx="55">
                  <c:v>420.94256756756755</c:v>
                </c:pt>
                <c:pt idx="56">
                  <c:v>428.41927512355846</c:v>
                </c:pt>
                <c:pt idx="57">
                  <c:v>435.89710610932474</c:v>
                </c:pt>
                <c:pt idx="58">
                  <c:v>443.37598116169545</c:v>
                </c:pt>
                <c:pt idx="59">
                  <c:v>450.85582822085888</c:v>
                </c:pt>
                <c:pt idx="60">
                  <c:v>458.33658170914543</c:v>
                </c:pt>
                <c:pt idx="61">
                  <c:v>465.81818181818181</c:v>
                </c:pt>
                <c:pt idx="62">
                  <c:v>473.30057388809183</c:v>
                </c:pt>
                <c:pt idx="63">
                  <c:v>480.78370786516854</c:v>
                </c:pt>
                <c:pt idx="64">
                  <c:v>488.26753782668499</c:v>
                </c:pt>
                <c:pt idx="65">
                  <c:v>495.75202156334234</c:v>
                </c:pt>
                <c:pt idx="66">
                  <c:v>503.23712021136066</c:v>
                </c:pt>
                <c:pt idx="67">
                  <c:v>510.72279792746116</c:v>
                </c:pt>
                <c:pt idx="68">
                  <c:v>518.2090216010165</c:v>
                </c:pt>
                <c:pt idx="69">
                  <c:v>525.69576059850374</c:v>
                </c:pt>
                <c:pt idx="70">
                  <c:v>533.18298653610771</c:v>
                </c:pt>
                <c:pt idx="71">
                  <c:v>540.67067307692309</c:v>
                </c:pt>
                <c:pt idx="72">
                  <c:v>548.15879574970484</c:v>
                </c:pt>
                <c:pt idx="73">
                  <c:v>555.64733178654296</c:v>
                </c:pt>
                <c:pt idx="74">
                  <c:v>563.13625997719498</c:v>
                </c:pt>
                <c:pt idx="75">
                  <c:v>570.62556053811659</c:v>
                </c:pt>
                <c:pt idx="76">
                  <c:v>578.11521499448736</c:v>
                </c:pt>
                <c:pt idx="77">
                  <c:v>585.6052060737527</c:v>
                </c:pt>
                <c:pt idx="78">
                  <c:v>593.09551760939166</c:v>
                </c:pt>
                <c:pt idx="79">
                  <c:v>600.58613445378148</c:v>
                </c:pt>
                <c:pt idx="80">
                  <c:v>608.07704239917268</c:v>
                </c:pt>
                <c:pt idx="81">
                  <c:v>615.56822810590631</c:v>
                </c:pt>
                <c:pt idx="82">
                  <c:v>623.05967903711132</c:v>
                </c:pt>
                <c:pt idx="83">
                  <c:v>630.5513833992095</c:v>
                </c:pt>
                <c:pt idx="84">
                  <c:v>638.04333008763388</c:v>
                </c:pt>
                <c:pt idx="85">
                  <c:v>645.53550863723603</c:v>
                </c:pt>
                <c:pt idx="86">
                  <c:v>653.02790917691584</c:v>
                </c:pt>
                <c:pt idx="87">
                  <c:v>660.5205223880597</c:v>
                </c:pt>
                <c:pt idx="88">
                  <c:v>668.01333946642137</c:v>
                </c:pt>
                <c:pt idx="89">
                  <c:v>675.50635208711435</c:v>
                </c:pt>
                <c:pt idx="90">
                  <c:v>682.99955237242614</c:v>
                </c:pt>
                <c:pt idx="91">
                  <c:v>690.49293286219086</c:v>
                </c:pt>
                <c:pt idx="92">
                  <c:v>697.98648648648646</c:v>
                </c:pt>
                <c:pt idx="93">
                  <c:v>705.48020654044751</c:v>
                </c:pt>
                <c:pt idx="94">
                  <c:v>712.9740866610025</c:v>
                </c:pt>
                <c:pt idx="95">
                  <c:v>720.46812080536915</c:v>
                </c:pt>
                <c:pt idx="96">
                  <c:v>727.96230323115162</c:v>
                </c:pt>
                <c:pt idx="97">
                  <c:v>735.45662847790504</c:v>
                </c:pt>
                <c:pt idx="98">
                  <c:v>742.95109135004043</c:v>
                </c:pt>
                <c:pt idx="99">
                  <c:v>750.44568690095844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87584"/>
        <c:axId val="56125312"/>
      </c:scatterChart>
      <c:valAx>
        <c:axId val="55987584"/>
        <c:scaling>
          <c:orientation val="minMax"/>
          <c:max val="10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CH"/>
                  <a:t>Anzahl Agenten</a:t>
                </a:r>
              </a:p>
            </c:rich>
          </c:tx>
          <c:layout>
            <c:manualLayout>
              <c:xMode val="edge"/>
              <c:yMode val="edge"/>
              <c:x val="0.42877001213781507"/>
              <c:y val="0.8255336778282265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6125312"/>
        <c:crosses val="autoZero"/>
        <c:crossBetween val="midCat"/>
      </c:valAx>
      <c:valAx>
        <c:axId val="561253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CH"/>
                  <a:t>Kosten</a:t>
                </a:r>
              </a:p>
            </c:rich>
          </c:tx>
          <c:layout>
            <c:manualLayout>
              <c:xMode val="edge"/>
              <c:yMode val="edge"/>
              <c:x val="8.6795549015752042E-3"/>
              <c:y val="0.332506620236369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5987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589056979921749"/>
          <c:y val="0.91152676926866683"/>
          <c:w val="0.88705051094098586"/>
          <c:h val="7.45273459150482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19</xdr:col>
      <xdr:colOff>0</xdr:colOff>
      <xdr:row>18</xdr:row>
      <xdr:rowOff>114300</xdr:rowOff>
    </xdr:to>
    <xdr:sp macro="" textlink="">
      <xdr:nvSpPr>
        <xdr:cNvPr id="2" name="Rectangle 7"/>
        <xdr:cNvSpPr>
          <a:spLocks noChangeArrowheads="1"/>
        </xdr:cNvSpPr>
      </xdr:nvSpPr>
      <xdr:spPr bwMode="auto">
        <a:xfrm>
          <a:off x="5753100" y="0"/>
          <a:ext cx="5486400" cy="3143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9525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6" name="Button 4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Verstecke Graphik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0</xdr:row>
      <xdr:rowOff>0</xdr:rowOff>
    </xdr:from>
    <xdr:to>
      <xdr:col>19</xdr:col>
      <xdr:colOff>0</xdr:colOff>
      <xdr:row>18</xdr:row>
      <xdr:rowOff>114300</xdr:rowOff>
    </xdr:to>
    <xdr:graphicFrame macro="">
      <xdr:nvGraphicFramePr>
        <xdr:cNvPr id="5" name="Diagramm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199"/>
  <sheetViews>
    <sheetView tabSelected="1" workbookViewId="0"/>
  </sheetViews>
  <sheetFormatPr baseColWidth="10" defaultRowHeight="15" x14ac:dyDescent="0.25"/>
  <cols>
    <col min="1" max="1" width="2.5703125" customWidth="1"/>
    <col min="2" max="2" width="10.7109375" customWidth="1"/>
    <col min="3" max="3" width="10.7109375" hidden="1" customWidth="1"/>
    <col min="4" max="10" width="10.42578125" customWidth="1"/>
    <col min="11" max="256" width="9.140625" customWidth="1"/>
    <col min="257" max="257" width="2.5703125" customWidth="1"/>
    <col min="258" max="258" width="10.7109375" customWidth="1"/>
    <col min="259" max="259" width="0" hidden="1" customWidth="1"/>
    <col min="260" max="266" width="10.42578125" customWidth="1"/>
    <col min="267" max="512" width="9.140625" customWidth="1"/>
    <col min="513" max="513" width="2.5703125" customWidth="1"/>
    <col min="514" max="514" width="10.7109375" customWidth="1"/>
    <col min="515" max="515" width="0" hidden="1" customWidth="1"/>
    <col min="516" max="522" width="10.42578125" customWidth="1"/>
    <col min="523" max="768" width="9.140625" customWidth="1"/>
    <col min="769" max="769" width="2.5703125" customWidth="1"/>
    <col min="770" max="770" width="10.7109375" customWidth="1"/>
    <col min="771" max="771" width="0" hidden="1" customWidth="1"/>
    <col min="772" max="778" width="10.42578125" customWidth="1"/>
    <col min="779" max="1024" width="9.140625" customWidth="1"/>
    <col min="1025" max="1025" width="2.5703125" customWidth="1"/>
    <col min="1026" max="1026" width="10.7109375" customWidth="1"/>
    <col min="1027" max="1027" width="0" hidden="1" customWidth="1"/>
    <col min="1028" max="1034" width="10.42578125" customWidth="1"/>
    <col min="1035" max="1280" width="9.140625" customWidth="1"/>
    <col min="1281" max="1281" width="2.5703125" customWidth="1"/>
    <col min="1282" max="1282" width="10.7109375" customWidth="1"/>
    <col min="1283" max="1283" width="0" hidden="1" customWidth="1"/>
    <col min="1284" max="1290" width="10.42578125" customWidth="1"/>
    <col min="1291" max="1536" width="9.140625" customWidth="1"/>
    <col min="1537" max="1537" width="2.5703125" customWidth="1"/>
    <col min="1538" max="1538" width="10.7109375" customWidth="1"/>
    <col min="1539" max="1539" width="0" hidden="1" customWidth="1"/>
    <col min="1540" max="1546" width="10.42578125" customWidth="1"/>
    <col min="1547" max="1792" width="9.140625" customWidth="1"/>
    <col min="1793" max="1793" width="2.5703125" customWidth="1"/>
    <col min="1794" max="1794" width="10.7109375" customWidth="1"/>
    <col min="1795" max="1795" width="0" hidden="1" customWidth="1"/>
    <col min="1796" max="1802" width="10.42578125" customWidth="1"/>
    <col min="1803" max="2048" width="9.140625" customWidth="1"/>
    <col min="2049" max="2049" width="2.5703125" customWidth="1"/>
    <col min="2050" max="2050" width="10.7109375" customWidth="1"/>
    <col min="2051" max="2051" width="0" hidden="1" customWidth="1"/>
    <col min="2052" max="2058" width="10.42578125" customWidth="1"/>
    <col min="2059" max="2304" width="9.140625" customWidth="1"/>
    <col min="2305" max="2305" width="2.5703125" customWidth="1"/>
    <col min="2306" max="2306" width="10.7109375" customWidth="1"/>
    <col min="2307" max="2307" width="0" hidden="1" customWidth="1"/>
    <col min="2308" max="2314" width="10.42578125" customWidth="1"/>
    <col min="2315" max="2560" width="9.140625" customWidth="1"/>
    <col min="2561" max="2561" width="2.5703125" customWidth="1"/>
    <col min="2562" max="2562" width="10.7109375" customWidth="1"/>
    <col min="2563" max="2563" width="0" hidden="1" customWidth="1"/>
    <col min="2564" max="2570" width="10.42578125" customWidth="1"/>
    <col min="2571" max="2816" width="9.140625" customWidth="1"/>
    <col min="2817" max="2817" width="2.5703125" customWidth="1"/>
    <col min="2818" max="2818" width="10.7109375" customWidth="1"/>
    <col min="2819" max="2819" width="0" hidden="1" customWidth="1"/>
    <col min="2820" max="2826" width="10.42578125" customWidth="1"/>
    <col min="2827" max="3072" width="9.140625" customWidth="1"/>
    <col min="3073" max="3073" width="2.5703125" customWidth="1"/>
    <col min="3074" max="3074" width="10.7109375" customWidth="1"/>
    <col min="3075" max="3075" width="0" hidden="1" customWidth="1"/>
    <col min="3076" max="3082" width="10.42578125" customWidth="1"/>
    <col min="3083" max="3328" width="9.140625" customWidth="1"/>
    <col min="3329" max="3329" width="2.5703125" customWidth="1"/>
    <col min="3330" max="3330" width="10.7109375" customWidth="1"/>
    <col min="3331" max="3331" width="0" hidden="1" customWidth="1"/>
    <col min="3332" max="3338" width="10.42578125" customWidth="1"/>
    <col min="3339" max="3584" width="9.140625" customWidth="1"/>
    <col min="3585" max="3585" width="2.5703125" customWidth="1"/>
    <col min="3586" max="3586" width="10.7109375" customWidth="1"/>
    <col min="3587" max="3587" width="0" hidden="1" customWidth="1"/>
    <col min="3588" max="3594" width="10.42578125" customWidth="1"/>
    <col min="3595" max="3840" width="9.140625" customWidth="1"/>
    <col min="3841" max="3841" width="2.5703125" customWidth="1"/>
    <col min="3842" max="3842" width="10.7109375" customWidth="1"/>
    <col min="3843" max="3843" width="0" hidden="1" customWidth="1"/>
    <col min="3844" max="3850" width="10.42578125" customWidth="1"/>
    <col min="3851" max="4096" width="9.140625" customWidth="1"/>
    <col min="4097" max="4097" width="2.5703125" customWidth="1"/>
    <col min="4098" max="4098" width="10.7109375" customWidth="1"/>
    <col min="4099" max="4099" width="0" hidden="1" customWidth="1"/>
    <col min="4100" max="4106" width="10.42578125" customWidth="1"/>
    <col min="4107" max="4352" width="9.140625" customWidth="1"/>
    <col min="4353" max="4353" width="2.5703125" customWidth="1"/>
    <col min="4354" max="4354" width="10.7109375" customWidth="1"/>
    <col min="4355" max="4355" width="0" hidden="1" customWidth="1"/>
    <col min="4356" max="4362" width="10.42578125" customWidth="1"/>
    <col min="4363" max="4608" width="9.140625" customWidth="1"/>
    <col min="4609" max="4609" width="2.5703125" customWidth="1"/>
    <col min="4610" max="4610" width="10.7109375" customWidth="1"/>
    <col min="4611" max="4611" width="0" hidden="1" customWidth="1"/>
    <col min="4612" max="4618" width="10.42578125" customWidth="1"/>
    <col min="4619" max="4864" width="9.140625" customWidth="1"/>
    <col min="4865" max="4865" width="2.5703125" customWidth="1"/>
    <col min="4866" max="4866" width="10.7109375" customWidth="1"/>
    <col min="4867" max="4867" width="0" hidden="1" customWidth="1"/>
    <col min="4868" max="4874" width="10.42578125" customWidth="1"/>
    <col min="4875" max="5120" width="9.140625" customWidth="1"/>
    <col min="5121" max="5121" width="2.5703125" customWidth="1"/>
    <col min="5122" max="5122" width="10.7109375" customWidth="1"/>
    <col min="5123" max="5123" width="0" hidden="1" customWidth="1"/>
    <col min="5124" max="5130" width="10.42578125" customWidth="1"/>
    <col min="5131" max="5376" width="9.140625" customWidth="1"/>
    <col min="5377" max="5377" width="2.5703125" customWidth="1"/>
    <col min="5378" max="5378" width="10.7109375" customWidth="1"/>
    <col min="5379" max="5379" width="0" hidden="1" customWidth="1"/>
    <col min="5380" max="5386" width="10.42578125" customWidth="1"/>
    <col min="5387" max="5632" width="9.140625" customWidth="1"/>
    <col min="5633" max="5633" width="2.5703125" customWidth="1"/>
    <col min="5634" max="5634" width="10.7109375" customWidth="1"/>
    <col min="5635" max="5635" width="0" hidden="1" customWidth="1"/>
    <col min="5636" max="5642" width="10.42578125" customWidth="1"/>
    <col min="5643" max="5888" width="9.140625" customWidth="1"/>
    <col min="5889" max="5889" width="2.5703125" customWidth="1"/>
    <col min="5890" max="5890" width="10.7109375" customWidth="1"/>
    <col min="5891" max="5891" width="0" hidden="1" customWidth="1"/>
    <col min="5892" max="5898" width="10.42578125" customWidth="1"/>
    <col min="5899" max="6144" width="9.140625" customWidth="1"/>
    <col min="6145" max="6145" width="2.5703125" customWidth="1"/>
    <col min="6146" max="6146" width="10.7109375" customWidth="1"/>
    <col min="6147" max="6147" width="0" hidden="1" customWidth="1"/>
    <col min="6148" max="6154" width="10.42578125" customWidth="1"/>
    <col min="6155" max="6400" width="9.140625" customWidth="1"/>
    <col min="6401" max="6401" width="2.5703125" customWidth="1"/>
    <col min="6402" max="6402" width="10.7109375" customWidth="1"/>
    <col min="6403" max="6403" width="0" hidden="1" customWidth="1"/>
    <col min="6404" max="6410" width="10.42578125" customWidth="1"/>
    <col min="6411" max="6656" width="9.140625" customWidth="1"/>
    <col min="6657" max="6657" width="2.5703125" customWidth="1"/>
    <col min="6658" max="6658" width="10.7109375" customWidth="1"/>
    <col min="6659" max="6659" width="0" hidden="1" customWidth="1"/>
    <col min="6660" max="6666" width="10.42578125" customWidth="1"/>
    <col min="6667" max="6912" width="9.140625" customWidth="1"/>
    <col min="6913" max="6913" width="2.5703125" customWidth="1"/>
    <col min="6914" max="6914" width="10.7109375" customWidth="1"/>
    <col min="6915" max="6915" width="0" hidden="1" customWidth="1"/>
    <col min="6916" max="6922" width="10.42578125" customWidth="1"/>
    <col min="6923" max="7168" width="9.140625" customWidth="1"/>
    <col min="7169" max="7169" width="2.5703125" customWidth="1"/>
    <col min="7170" max="7170" width="10.7109375" customWidth="1"/>
    <col min="7171" max="7171" width="0" hidden="1" customWidth="1"/>
    <col min="7172" max="7178" width="10.42578125" customWidth="1"/>
    <col min="7179" max="7424" width="9.140625" customWidth="1"/>
    <col min="7425" max="7425" width="2.5703125" customWidth="1"/>
    <col min="7426" max="7426" width="10.7109375" customWidth="1"/>
    <col min="7427" max="7427" width="0" hidden="1" customWidth="1"/>
    <col min="7428" max="7434" width="10.42578125" customWidth="1"/>
    <col min="7435" max="7680" width="9.140625" customWidth="1"/>
    <col min="7681" max="7681" width="2.5703125" customWidth="1"/>
    <col min="7682" max="7682" width="10.7109375" customWidth="1"/>
    <col min="7683" max="7683" width="0" hidden="1" customWidth="1"/>
    <col min="7684" max="7690" width="10.42578125" customWidth="1"/>
    <col min="7691" max="7936" width="9.140625" customWidth="1"/>
    <col min="7937" max="7937" width="2.5703125" customWidth="1"/>
    <col min="7938" max="7938" width="10.7109375" customWidth="1"/>
    <col min="7939" max="7939" width="0" hidden="1" customWidth="1"/>
    <col min="7940" max="7946" width="10.42578125" customWidth="1"/>
    <col min="7947" max="8192" width="9.140625" customWidth="1"/>
    <col min="8193" max="8193" width="2.5703125" customWidth="1"/>
    <col min="8194" max="8194" width="10.7109375" customWidth="1"/>
    <col min="8195" max="8195" width="0" hidden="1" customWidth="1"/>
    <col min="8196" max="8202" width="10.42578125" customWidth="1"/>
    <col min="8203" max="8448" width="9.140625" customWidth="1"/>
    <col min="8449" max="8449" width="2.5703125" customWidth="1"/>
    <col min="8450" max="8450" width="10.7109375" customWidth="1"/>
    <col min="8451" max="8451" width="0" hidden="1" customWidth="1"/>
    <col min="8452" max="8458" width="10.42578125" customWidth="1"/>
    <col min="8459" max="8704" width="9.140625" customWidth="1"/>
    <col min="8705" max="8705" width="2.5703125" customWidth="1"/>
    <col min="8706" max="8706" width="10.7109375" customWidth="1"/>
    <col min="8707" max="8707" width="0" hidden="1" customWidth="1"/>
    <col min="8708" max="8714" width="10.42578125" customWidth="1"/>
    <col min="8715" max="8960" width="9.140625" customWidth="1"/>
    <col min="8961" max="8961" width="2.5703125" customWidth="1"/>
    <col min="8962" max="8962" width="10.7109375" customWidth="1"/>
    <col min="8963" max="8963" width="0" hidden="1" customWidth="1"/>
    <col min="8964" max="8970" width="10.42578125" customWidth="1"/>
    <col min="8971" max="9216" width="9.140625" customWidth="1"/>
    <col min="9217" max="9217" width="2.5703125" customWidth="1"/>
    <col min="9218" max="9218" width="10.7109375" customWidth="1"/>
    <col min="9219" max="9219" width="0" hidden="1" customWidth="1"/>
    <col min="9220" max="9226" width="10.42578125" customWidth="1"/>
    <col min="9227" max="9472" width="9.140625" customWidth="1"/>
    <col min="9473" max="9473" width="2.5703125" customWidth="1"/>
    <col min="9474" max="9474" width="10.7109375" customWidth="1"/>
    <col min="9475" max="9475" width="0" hidden="1" customWidth="1"/>
    <col min="9476" max="9482" width="10.42578125" customWidth="1"/>
    <col min="9483" max="9728" width="9.140625" customWidth="1"/>
    <col min="9729" max="9729" width="2.5703125" customWidth="1"/>
    <col min="9730" max="9730" width="10.7109375" customWidth="1"/>
    <col min="9731" max="9731" width="0" hidden="1" customWidth="1"/>
    <col min="9732" max="9738" width="10.42578125" customWidth="1"/>
    <col min="9739" max="9984" width="9.140625" customWidth="1"/>
    <col min="9985" max="9985" width="2.5703125" customWidth="1"/>
    <col min="9986" max="9986" width="10.7109375" customWidth="1"/>
    <col min="9987" max="9987" width="0" hidden="1" customWidth="1"/>
    <col min="9988" max="9994" width="10.42578125" customWidth="1"/>
    <col min="9995" max="10240" width="9.140625" customWidth="1"/>
    <col min="10241" max="10241" width="2.5703125" customWidth="1"/>
    <col min="10242" max="10242" width="10.7109375" customWidth="1"/>
    <col min="10243" max="10243" width="0" hidden="1" customWidth="1"/>
    <col min="10244" max="10250" width="10.42578125" customWidth="1"/>
    <col min="10251" max="10496" width="9.140625" customWidth="1"/>
    <col min="10497" max="10497" width="2.5703125" customWidth="1"/>
    <col min="10498" max="10498" width="10.7109375" customWidth="1"/>
    <col min="10499" max="10499" width="0" hidden="1" customWidth="1"/>
    <col min="10500" max="10506" width="10.42578125" customWidth="1"/>
    <col min="10507" max="10752" width="9.140625" customWidth="1"/>
    <col min="10753" max="10753" width="2.5703125" customWidth="1"/>
    <col min="10754" max="10754" width="10.7109375" customWidth="1"/>
    <col min="10755" max="10755" width="0" hidden="1" customWidth="1"/>
    <col min="10756" max="10762" width="10.42578125" customWidth="1"/>
    <col min="10763" max="11008" width="9.140625" customWidth="1"/>
    <col min="11009" max="11009" width="2.5703125" customWidth="1"/>
    <col min="11010" max="11010" width="10.7109375" customWidth="1"/>
    <col min="11011" max="11011" width="0" hidden="1" customWidth="1"/>
    <col min="11012" max="11018" width="10.42578125" customWidth="1"/>
    <col min="11019" max="11264" width="9.140625" customWidth="1"/>
    <col min="11265" max="11265" width="2.5703125" customWidth="1"/>
    <col min="11266" max="11266" width="10.7109375" customWidth="1"/>
    <col min="11267" max="11267" width="0" hidden="1" customWidth="1"/>
    <col min="11268" max="11274" width="10.42578125" customWidth="1"/>
    <col min="11275" max="11520" width="9.140625" customWidth="1"/>
    <col min="11521" max="11521" width="2.5703125" customWidth="1"/>
    <col min="11522" max="11522" width="10.7109375" customWidth="1"/>
    <col min="11523" max="11523" width="0" hidden="1" customWidth="1"/>
    <col min="11524" max="11530" width="10.42578125" customWidth="1"/>
    <col min="11531" max="11776" width="9.140625" customWidth="1"/>
    <col min="11777" max="11777" width="2.5703125" customWidth="1"/>
    <col min="11778" max="11778" width="10.7109375" customWidth="1"/>
    <col min="11779" max="11779" width="0" hidden="1" customWidth="1"/>
    <col min="11780" max="11786" width="10.42578125" customWidth="1"/>
    <col min="11787" max="12032" width="9.140625" customWidth="1"/>
    <col min="12033" max="12033" width="2.5703125" customWidth="1"/>
    <col min="12034" max="12034" width="10.7109375" customWidth="1"/>
    <col min="12035" max="12035" width="0" hidden="1" customWidth="1"/>
    <col min="12036" max="12042" width="10.42578125" customWidth="1"/>
    <col min="12043" max="12288" width="9.140625" customWidth="1"/>
    <col min="12289" max="12289" width="2.5703125" customWidth="1"/>
    <col min="12290" max="12290" width="10.7109375" customWidth="1"/>
    <col min="12291" max="12291" width="0" hidden="1" customWidth="1"/>
    <col min="12292" max="12298" width="10.42578125" customWidth="1"/>
    <col min="12299" max="12544" width="9.140625" customWidth="1"/>
    <col min="12545" max="12545" width="2.5703125" customWidth="1"/>
    <col min="12546" max="12546" width="10.7109375" customWidth="1"/>
    <col min="12547" max="12547" width="0" hidden="1" customWidth="1"/>
    <col min="12548" max="12554" width="10.42578125" customWidth="1"/>
    <col min="12555" max="12800" width="9.140625" customWidth="1"/>
    <col min="12801" max="12801" width="2.5703125" customWidth="1"/>
    <col min="12802" max="12802" width="10.7109375" customWidth="1"/>
    <col min="12803" max="12803" width="0" hidden="1" customWidth="1"/>
    <col min="12804" max="12810" width="10.42578125" customWidth="1"/>
    <col min="12811" max="13056" width="9.140625" customWidth="1"/>
    <col min="13057" max="13057" width="2.5703125" customWidth="1"/>
    <col min="13058" max="13058" width="10.7109375" customWidth="1"/>
    <col min="13059" max="13059" width="0" hidden="1" customWidth="1"/>
    <col min="13060" max="13066" width="10.42578125" customWidth="1"/>
    <col min="13067" max="13312" width="9.140625" customWidth="1"/>
    <col min="13313" max="13313" width="2.5703125" customWidth="1"/>
    <col min="13314" max="13314" width="10.7109375" customWidth="1"/>
    <col min="13315" max="13315" width="0" hidden="1" customWidth="1"/>
    <col min="13316" max="13322" width="10.42578125" customWidth="1"/>
    <col min="13323" max="13568" width="9.140625" customWidth="1"/>
    <col min="13569" max="13569" width="2.5703125" customWidth="1"/>
    <col min="13570" max="13570" width="10.7109375" customWidth="1"/>
    <col min="13571" max="13571" width="0" hidden="1" customWidth="1"/>
    <col min="13572" max="13578" width="10.42578125" customWidth="1"/>
    <col min="13579" max="13824" width="9.140625" customWidth="1"/>
    <col min="13825" max="13825" width="2.5703125" customWidth="1"/>
    <col min="13826" max="13826" width="10.7109375" customWidth="1"/>
    <col min="13827" max="13827" width="0" hidden="1" customWidth="1"/>
    <col min="13828" max="13834" width="10.42578125" customWidth="1"/>
    <col min="13835" max="14080" width="9.140625" customWidth="1"/>
    <col min="14081" max="14081" width="2.5703125" customWidth="1"/>
    <col min="14082" max="14082" width="10.7109375" customWidth="1"/>
    <col min="14083" max="14083" width="0" hidden="1" customWidth="1"/>
    <col min="14084" max="14090" width="10.42578125" customWidth="1"/>
    <col min="14091" max="14336" width="9.140625" customWidth="1"/>
    <col min="14337" max="14337" width="2.5703125" customWidth="1"/>
    <col min="14338" max="14338" width="10.7109375" customWidth="1"/>
    <col min="14339" max="14339" width="0" hidden="1" customWidth="1"/>
    <col min="14340" max="14346" width="10.42578125" customWidth="1"/>
    <col min="14347" max="14592" width="9.140625" customWidth="1"/>
    <col min="14593" max="14593" width="2.5703125" customWidth="1"/>
    <col min="14594" max="14594" width="10.7109375" customWidth="1"/>
    <col min="14595" max="14595" width="0" hidden="1" customWidth="1"/>
    <col min="14596" max="14602" width="10.42578125" customWidth="1"/>
    <col min="14603" max="14848" width="9.140625" customWidth="1"/>
    <col min="14849" max="14849" width="2.5703125" customWidth="1"/>
    <col min="14850" max="14850" width="10.7109375" customWidth="1"/>
    <col min="14851" max="14851" width="0" hidden="1" customWidth="1"/>
    <col min="14852" max="14858" width="10.42578125" customWidth="1"/>
    <col min="14859" max="15104" width="9.140625" customWidth="1"/>
    <col min="15105" max="15105" width="2.5703125" customWidth="1"/>
    <col min="15106" max="15106" width="10.7109375" customWidth="1"/>
    <col min="15107" max="15107" width="0" hidden="1" customWidth="1"/>
    <col min="15108" max="15114" width="10.42578125" customWidth="1"/>
    <col min="15115" max="15360" width="9.140625" customWidth="1"/>
    <col min="15361" max="15361" width="2.5703125" customWidth="1"/>
    <col min="15362" max="15362" width="10.7109375" customWidth="1"/>
    <col min="15363" max="15363" width="0" hidden="1" customWidth="1"/>
    <col min="15364" max="15370" width="10.42578125" customWidth="1"/>
    <col min="15371" max="15616" width="9.140625" customWidth="1"/>
    <col min="15617" max="15617" width="2.5703125" customWidth="1"/>
    <col min="15618" max="15618" width="10.7109375" customWidth="1"/>
    <col min="15619" max="15619" width="0" hidden="1" customWidth="1"/>
    <col min="15620" max="15626" width="10.42578125" customWidth="1"/>
    <col min="15627" max="15872" width="9.140625" customWidth="1"/>
    <col min="15873" max="15873" width="2.5703125" customWidth="1"/>
    <col min="15874" max="15874" width="10.7109375" customWidth="1"/>
    <col min="15875" max="15875" width="0" hidden="1" customWidth="1"/>
    <col min="15876" max="15882" width="10.42578125" customWidth="1"/>
    <col min="15883" max="16128" width="9.140625" customWidth="1"/>
    <col min="16129" max="16129" width="2.5703125" customWidth="1"/>
    <col min="16130" max="16130" width="10.7109375" customWidth="1"/>
    <col min="16131" max="16131" width="0" hidden="1" customWidth="1"/>
    <col min="16132" max="16138" width="10.42578125" customWidth="1"/>
    <col min="16139" max="16384" width="9.140625" customWidth="1"/>
  </cols>
  <sheetData>
    <row r="1" spans="1:10" ht="15.75" x14ac:dyDescent="0.25">
      <c r="A1" s="1" t="s">
        <v>0</v>
      </c>
    </row>
    <row r="2" spans="1:10" ht="15.75" x14ac:dyDescent="0.25">
      <c r="A2" s="1" t="s">
        <v>1</v>
      </c>
    </row>
    <row r="3" spans="1:10" x14ac:dyDescent="0.25">
      <c r="A3" s="2" t="s">
        <v>2</v>
      </c>
    </row>
    <row r="4" spans="1:10" x14ac:dyDescent="0.25">
      <c r="A4" s="2" t="s">
        <v>3</v>
      </c>
    </row>
    <row r="5" spans="1:10" x14ac:dyDescent="0.25">
      <c r="A5" s="2"/>
    </row>
    <row r="6" spans="1:10" x14ac:dyDescent="0.25">
      <c r="B6" s="3">
        <v>124</v>
      </c>
      <c r="D6" s="4" t="s">
        <v>4</v>
      </c>
      <c r="E6" s="4"/>
      <c r="F6" s="4"/>
      <c r="G6" s="5">
        <f>60/B6</f>
        <v>0.4838709677419355</v>
      </c>
      <c r="H6" s="4" t="s">
        <v>5</v>
      </c>
      <c r="I6" s="4"/>
      <c r="J6" s="4"/>
    </row>
    <row r="7" spans="1:10" x14ac:dyDescent="0.25">
      <c r="B7" s="6">
        <v>7.5</v>
      </c>
      <c r="D7" s="4" t="s">
        <v>6</v>
      </c>
      <c r="E7" s="4"/>
      <c r="F7" s="4"/>
      <c r="G7" s="5">
        <f>60/B7</f>
        <v>8</v>
      </c>
      <c r="H7" s="4" t="s">
        <v>7</v>
      </c>
      <c r="I7" s="4"/>
      <c r="J7" s="4"/>
    </row>
    <row r="8" spans="1:10" x14ac:dyDescent="0.25">
      <c r="B8" s="7"/>
      <c r="D8" s="8"/>
      <c r="E8" s="8"/>
      <c r="F8" s="8"/>
      <c r="G8" s="8"/>
      <c r="H8" s="8"/>
      <c r="I8" s="8"/>
      <c r="J8" s="8"/>
    </row>
    <row r="9" spans="1:10" x14ac:dyDescent="0.25">
      <c r="B9" s="3">
        <v>0.8</v>
      </c>
      <c r="D9" s="4" t="s">
        <v>8</v>
      </c>
      <c r="E9" s="4"/>
      <c r="F9" s="4"/>
      <c r="G9" s="4"/>
      <c r="H9" s="4"/>
      <c r="I9" s="4"/>
      <c r="J9" s="4"/>
    </row>
    <row r="10" spans="1:10" x14ac:dyDescent="0.25">
      <c r="B10" s="3">
        <v>50</v>
      </c>
      <c r="D10" s="4" t="s">
        <v>9</v>
      </c>
      <c r="E10" s="4"/>
      <c r="F10" s="4"/>
      <c r="G10" s="4"/>
      <c r="H10" s="4"/>
      <c r="I10" s="4"/>
      <c r="J10" s="4"/>
    </row>
    <row r="11" spans="1:10" x14ac:dyDescent="0.25">
      <c r="B11" s="3">
        <v>0.3</v>
      </c>
      <c r="D11" s="4" t="s">
        <v>10</v>
      </c>
      <c r="E11" s="4"/>
      <c r="F11" s="4"/>
      <c r="G11" s="4"/>
      <c r="H11" s="4"/>
      <c r="I11" s="4"/>
      <c r="J11" s="4"/>
    </row>
    <row r="12" spans="1:10" x14ac:dyDescent="0.25">
      <c r="B12" s="3">
        <v>8.319E-2</v>
      </c>
      <c r="D12" s="4" t="s">
        <v>11</v>
      </c>
      <c r="E12" s="4"/>
      <c r="F12" s="4"/>
      <c r="G12" s="4"/>
      <c r="H12" s="4"/>
      <c r="I12" s="4"/>
      <c r="J12" s="9" t="s">
        <v>12</v>
      </c>
    </row>
    <row r="13" spans="1:10" x14ac:dyDescent="0.25">
      <c r="B13" s="3">
        <f>-0.08411</f>
        <v>-8.4110000000000004E-2</v>
      </c>
      <c r="D13" s="4" t="s">
        <v>13</v>
      </c>
      <c r="E13" s="4"/>
      <c r="F13" s="4"/>
      <c r="G13" s="4"/>
      <c r="H13" s="4"/>
      <c r="I13" s="4"/>
      <c r="J13" s="4"/>
    </row>
    <row r="14" spans="1:10" ht="15.75" x14ac:dyDescent="0.3">
      <c r="B14" s="6">
        <v>0.33300000000000002</v>
      </c>
      <c r="D14" s="4" t="s">
        <v>14</v>
      </c>
      <c r="E14" s="4"/>
      <c r="F14" s="4"/>
      <c r="G14" s="4"/>
      <c r="H14" s="4"/>
      <c r="I14" s="4"/>
      <c r="J14" s="4"/>
    </row>
    <row r="15" spans="1:10" x14ac:dyDescent="0.25">
      <c r="B15" s="7"/>
      <c r="D15" s="8"/>
      <c r="E15" s="8"/>
      <c r="F15" s="8"/>
      <c r="G15" s="8"/>
      <c r="H15" s="8"/>
      <c r="I15" s="8"/>
      <c r="J15" s="8"/>
    </row>
    <row r="16" spans="1:10" x14ac:dyDescent="0.25">
      <c r="B16" s="3">
        <v>0.75</v>
      </c>
      <c r="D16" s="4" t="s">
        <v>15</v>
      </c>
      <c r="E16" s="4"/>
      <c r="F16" s="4"/>
      <c r="G16" s="4"/>
      <c r="H16" s="4"/>
      <c r="I16" s="4"/>
      <c r="J16" s="4"/>
    </row>
    <row r="17" spans="2:10" x14ac:dyDescent="0.25">
      <c r="B17" s="3">
        <v>9</v>
      </c>
      <c r="D17" s="4" t="s">
        <v>16</v>
      </c>
      <c r="E17" s="4"/>
      <c r="F17" s="4"/>
      <c r="G17" s="4"/>
      <c r="H17" s="4"/>
      <c r="I17" s="4"/>
      <c r="J17" s="4"/>
    </row>
    <row r="18" spans="2:10" x14ac:dyDescent="0.25">
      <c r="B18" s="7"/>
      <c r="D18" s="8"/>
      <c r="E18" s="8"/>
      <c r="F18" s="8"/>
      <c r="G18" s="8"/>
      <c r="H18" s="8"/>
      <c r="I18" s="8"/>
      <c r="J18" s="8"/>
    </row>
    <row r="19" spans="2:10" x14ac:dyDescent="0.25">
      <c r="B19" s="3">
        <v>15</v>
      </c>
      <c r="D19" s="4" t="s">
        <v>17</v>
      </c>
      <c r="E19" s="4"/>
      <c r="F19" s="4"/>
      <c r="G19" s="4"/>
      <c r="H19" s="4"/>
      <c r="I19" s="4"/>
      <c r="J19" s="4"/>
    </row>
    <row r="20" spans="2:10" ht="12" customHeight="1" x14ac:dyDescent="0.25">
      <c r="B20" s="10"/>
      <c r="D20" s="11"/>
      <c r="E20" s="11"/>
      <c r="F20" s="11"/>
      <c r="G20" s="11"/>
      <c r="H20" s="11"/>
    </row>
    <row r="21" spans="2:10" s="11" customFormat="1" ht="7.15" hidden="1" customHeight="1" x14ac:dyDescent="0.25">
      <c r="B21" s="10"/>
      <c r="E21" s="11" t="s">
        <v>18</v>
      </c>
      <c r="F21" s="11" t="s">
        <v>19</v>
      </c>
      <c r="G21" s="11" t="s">
        <v>20</v>
      </c>
      <c r="H21" s="11" t="s">
        <v>21</v>
      </c>
    </row>
    <row r="22" spans="2:10" ht="30" x14ac:dyDescent="0.25">
      <c r="B22" s="12" t="s">
        <v>22</v>
      </c>
      <c r="D22" s="13" t="s">
        <v>23</v>
      </c>
      <c r="E22" s="14" t="s">
        <v>24</v>
      </c>
      <c r="F22" s="13" t="s">
        <v>25</v>
      </c>
      <c r="G22" s="13" t="s">
        <v>26</v>
      </c>
      <c r="H22" s="15" t="s">
        <v>21</v>
      </c>
      <c r="I22" s="7"/>
      <c r="J22" s="7"/>
    </row>
    <row r="23" spans="2:10" x14ac:dyDescent="0.25">
      <c r="B23" s="12"/>
      <c r="D23" s="16" t="s">
        <v>27</v>
      </c>
      <c r="E23" s="16" t="s">
        <v>28</v>
      </c>
      <c r="F23" s="16" t="s">
        <v>29</v>
      </c>
      <c r="G23" s="16" t="s">
        <v>30</v>
      </c>
      <c r="H23" s="17"/>
      <c r="I23" s="7"/>
      <c r="J23" s="7"/>
    </row>
    <row r="24" spans="2:10" ht="15.75" x14ac:dyDescent="0.3">
      <c r="B24" s="18" t="s">
        <v>31</v>
      </c>
      <c r="D24" s="19" t="s">
        <v>32</v>
      </c>
      <c r="E24" s="20" t="s">
        <v>33</v>
      </c>
      <c r="F24" s="20" t="s">
        <v>34</v>
      </c>
      <c r="G24" s="21"/>
      <c r="H24" s="22"/>
      <c r="I24" s="7"/>
      <c r="J24" s="7"/>
    </row>
    <row r="25" spans="2:10" x14ac:dyDescent="0.25">
      <c r="B25" s="29">
        <v>1</v>
      </c>
      <c r="C25" s="23"/>
      <c r="D25" s="28"/>
      <c r="E25" s="23"/>
      <c r="F25" s="23"/>
      <c r="G25" s="23">
        <v>7.5</v>
      </c>
      <c r="H25" s="28"/>
    </row>
    <row r="26" spans="2:10" x14ac:dyDescent="0.25">
      <c r="B26" s="29">
        <f t="shared" ref="B26:B89" si="0">B25+1</f>
        <v>2</v>
      </c>
      <c r="C26" s="23"/>
      <c r="D26" s="28"/>
      <c r="E26" s="23"/>
      <c r="F26" s="23"/>
      <c r="G26" s="23">
        <v>15</v>
      </c>
      <c r="H26" s="28"/>
    </row>
    <row r="27" spans="2:10" x14ac:dyDescent="0.25">
      <c r="B27" s="29">
        <f t="shared" si="0"/>
        <v>3</v>
      </c>
      <c r="C27" s="23"/>
      <c r="D27" s="28"/>
      <c r="E27" s="23"/>
      <c r="F27" s="23"/>
      <c r="G27" s="23">
        <v>22.5</v>
      </c>
      <c r="H27" s="28"/>
    </row>
    <row r="28" spans="2:10" x14ac:dyDescent="0.25">
      <c r="B28" s="29">
        <f t="shared" si="0"/>
        <v>4</v>
      </c>
      <c r="C28" s="23"/>
      <c r="D28" s="28"/>
      <c r="E28" s="23"/>
      <c r="F28" s="23"/>
      <c r="G28" s="23">
        <v>30</v>
      </c>
      <c r="H28" s="28"/>
    </row>
    <row r="29" spans="2:10" x14ac:dyDescent="0.25">
      <c r="B29" s="29">
        <f t="shared" si="0"/>
        <v>5</v>
      </c>
      <c r="C29" s="23"/>
      <c r="D29" s="28"/>
      <c r="E29" s="23"/>
      <c r="F29" s="23"/>
      <c r="G29" s="23">
        <v>37.5</v>
      </c>
      <c r="H29" s="28"/>
    </row>
    <row r="30" spans="2:10" x14ac:dyDescent="0.25">
      <c r="B30" s="29">
        <f t="shared" si="0"/>
        <v>6</v>
      </c>
      <c r="C30" s="23"/>
      <c r="D30" s="28"/>
      <c r="E30" s="23"/>
      <c r="F30" s="23"/>
      <c r="G30" s="23">
        <v>45</v>
      </c>
      <c r="H30" s="28"/>
    </row>
    <row r="31" spans="2:10" x14ac:dyDescent="0.25">
      <c r="B31" s="29">
        <f t="shared" si="0"/>
        <v>7</v>
      </c>
      <c r="C31" s="23"/>
      <c r="D31" s="28"/>
      <c r="E31" s="23"/>
      <c r="F31" s="23"/>
      <c r="G31" s="23">
        <v>52.5</v>
      </c>
      <c r="H31" s="28"/>
    </row>
    <row r="32" spans="2:10" x14ac:dyDescent="0.25">
      <c r="B32" s="29">
        <f t="shared" si="0"/>
        <v>8</v>
      </c>
      <c r="C32" s="23"/>
      <c r="D32" s="28"/>
      <c r="E32" s="23"/>
      <c r="F32" s="23"/>
      <c r="G32" s="23">
        <v>60</v>
      </c>
      <c r="H32" s="28"/>
    </row>
    <row r="33" spans="2:8" x14ac:dyDescent="0.25">
      <c r="B33" s="29">
        <f t="shared" si="0"/>
        <v>9</v>
      </c>
      <c r="C33" s="23"/>
      <c r="D33" s="28"/>
      <c r="E33" s="23"/>
      <c r="F33" s="23"/>
      <c r="G33" s="23">
        <v>67.5</v>
      </c>
      <c r="H33" s="28"/>
    </row>
    <row r="34" spans="2:8" x14ac:dyDescent="0.25">
      <c r="B34" s="29">
        <f t="shared" si="0"/>
        <v>10</v>
      </c>
      <c r="C34" s="23"/>
      <c r="D34" s="28"/>
      <c r="E34" s="23"/>
      <c r="F34" s="23"/>
      <c r="G34" s="23">
        <v>75</v>
      </c>
      <c r="H34" s="28"/>
    </row>
    <row r="35" spans="2:8" x14ac:dyDescent="0.25">
      <c r="B35" s="29">
        <f t="shared" si="0"/>
        <v>11</v>
      </c>
      <c r="C35" s="23"/>
      <c r="D35" s="28"/>
      <c r="E35" s="23"/>
      <c r="F35" s="23"/>
      <c r="G35" s="23">
        <v>82.5</v>
      </c>
      <c r="H35" s="28"/>
    </row>
    <row r="36" spans="2:8" x14ac:dyDescent="0.25">
      <c r="B36" s="29">
        <f t="shared" si="0"/>
        <v>12</v>
      </c>
      <c r="C36" s="23"/>
      <c r="D36" s="28"/>
      <c r="E36" s="23"/>
      <c r="F36" s="23"/>
      <c r="G36" s="23">
        <v>90</v>
      </c>
      <c r="H36" s="28"/>
    </row>
    <row r="37" spans="2:8" x14ac:dyDescent="0.25">
      <c r="B37" s="29">
        <f t="shared" si="0"/>
        <v>13</v>
      </c>
      <c r="C37" s="23"/>
      <c r="D37" s="28"/>
      <c r="E37" s="23"/>
      <c r="F37" s="23"/>
      <c r="G37" s="23">
        <v>97.5</v>
      </c>
      <c r="H37" s="28"/>
    </row>
    <row r="38" spans="2:8" x14ac:dyDescent="0.25">
      <c r="B38" s="29">
        <f t="shared" si="0"/>
        <v>14</v>
      </c>
      <c r="C38" s="23"/>
      <c r="D38" s="28"/>
      <c r="E38" s="23"/>
      <c r="F38" s="23"/>
      <c r="G38" s="23">
        <v>105</v>
      </c>
      <c r="H38" s="28"/>
    </row>
    <row r="39" spans="2:8" x14ac:dyDescent="0.25">
      <c r="B39" s="29">
        <f t="shared" si="0"/>
        <v>15</v>
      </c>
      <c r="C39" s="23"/>
      <c r="D39" s="28"/>
      <c r="E39" s="23"/>
      <c r="F39" s="23"/>
      <c r="G39" s="23">
        <v>112.5</v>
      </c>
      <c r="H39" s="28"/>
    </row>
    <row r="40" spans="2:8" x14ac:dyDescent="0.25">
      <c r="B40" s="29">
        <f t="shared" si="0"/>
        <v>16</v>
      </c>
      <c r="C40" s="23"/>
      <c r="D40" s="28"/>
      <c r="E40" s="23"/>
      <c r="F40" s="23"/>
      <c r="G40" s="23">
        <v>120</v>
      </c>
      <c r="H40" s="28"/>
    </row>
    <row r="41" spans="2:8" x14ac:dyDescent="0.25">
      <c r="B41" s="29">
        <f t="shared" si="0"/>
        <v>17</v>
      </c>
      <c r="C41" s="23">
        <v>0.16567922945276081</v>
      </c>
      <c r="D41" s="28">
        <v>0.1451355269023028</v>
      </c>
      <c r="E41" s="23">
        <v>52.811092219191991</v>
      </c>
      <c r="F41" s="23">
        <v>13.20700143352007</v>
      </c>
      <c r="G41" s="23">
        <v>127.5</v>
      </c>
      <c r="H41" s="28">
        <v>193.51809365271205</v>
      </c>
    </row>
    <row r="42" spans="2:8" x14ac:dyDescent="0.25">
      <c r="B42" s="29">
        <f t="shared" si="0"/>
        <v>18</v>
      </c>
      <c r="C42" s="23">
        <v>0.44297749414208365</v>
      </c>
      <c r="D42" s="28">
        <v>0.39872304945841841</v>
      </c>
      <c r="E42" s="23">
        <v>36.942132806678998</v>
      </c>
      <c r="F42" s="23">
        <v>11.235520078694666</v>
      </c>
      <c r="G42" s="23">
        <v>135</v>
      </c>
      <c r="H42" s="28">
        <v>183.17765288537367</v>
      </c>
    </row>
    <row r="43" spans="2:8" x14ac:dyDescent="0.25">
      <c r="B43" s="29">
        <f t="shared" si="0"/>
        <v>19</v>
      </c>
      <c r="C43" s="23">
        <v>0.63649698557387513</v>
      </c>
      <c r="D43" s="28">
        <v>0.58662193339972546</v>
      </c>
      <c r="E43" s="23">
        <v>25.183826511221323</v>
      </c>
      <c r="F43" s="23">
        <v>9.5990626473033096</v>
      </c>
      <c r="G43" s="23">
        <v>142.5</v>
      </c>
      <c r="H43" s="28">
        <v>177.28288915852463</v>
      </c>
    </row>
    <row r="44" spans="2:8" x14ac:dyDescent="0.25">
      <c r="B44" s="24">
        <f t="shared" si="0"/>
        <v>20</v>
      </c>
      <c r="C44" s="23">
        <v>0.76844910690853219</v>
      </c>
      <c r="D44" s="25">
        <v>0.72258913068581987</v>
      </c>
      <c r="E44" s="23">
        <v>16.675292994203673</v>
      </c>
      <c r="F44" s="23">
        <v>8.2460500318261722</v>
      </c>
      <c r="G44" s="23">
        <v>150</v>
      </c>
      <c r="H44" s="25">
        <v>174.92134302602983</v>
      </c>
    </row>
    <row r="45" spans="2:8" x14ac:dyDescent="0.25">
      <c r="B45" s="29">
        <f t="shared" si="0"/>
        <v>21</v>
      </c>
      <c r="C45" s="23">
        <v>0.85620476531404277</v>
      </c>
      <c r="D45" s="28">
        <v>0.81850732291468931</v>
      </c>
      <c r="E45" s="23">
        <v>10.672939707816237</v>
      </c>
      <c r="F45" s="23">
        <v>7.1307799857497889</v>
      </c>
      <c r="G45" s="23">
        <v>157.5</v>
      </c>
      <c r="H45" s="28">
        <v>175.30371969356602</v>
      </c>
    </row>
    <row r="46" spans="2:8" x14ac:dyDescent="0.25">
      <c r="B46" s="29">
        <f t="shared" si="0"/>
        <v>22</v>
      </c>
      <c r="C46" s="23">
        <v>0.91303940220264268</v>
      </c>
      <c r="D46" s="28">
        <v>0.8843688808068314</v>
      </c>
      <c r="E46" s="23">
        <v>6.5514656758910261</v>
      </c>
      <c r="F46" s="23">
        <v>6.2131217857204213</v>
      </c>
      <c r="G46" s="23">
        <v>165</v>
      </c>
      <c r="H46" s="28">
        <v>177.76458746161146</v>
      </c>
    </row>
    <row r="47" spans="2:8" x14ac:dyDescent="0.25">
      <c r="B47" s="29">
        <f t="shared" si="0"/>
        <v>23</v>
      </c>
      <c r="C47" s="23">
        <v>0.94883452428828619</v>
      </c>
      <c r="D47" s="28">
        <v>0.92832514404322097</v>
      </c>
      <c r="E47" s="23">
        <v>3.8007776680863579</v>
      </c>
      <c r="F47" s="23">
        <v>5.458243964462512</v>
      </c>
      <c r="G47" s="23">
        <v>172.5</v>
      </c>
      <c r="H47" s="28">
        <v>181.75902163254887</v>
      </c>
    </row>
    <row r="48" spans="2:8" x14ac:dyDescent="0.25">
      <c r="B48" s="29">
        <f t="shared" si="0"/>
        <v>24</v>
      </c>
      <c r="C48" s="23">
        <v>0.97073230748604067</v>
      </c>
      <c r="D48" s="28">
        <v>0.95680674870218452</v>
      </c>
      <c r="E48" s="23">
        <v>2.0184603687944893</v>
      </c>
      <c r="F48" s="23">
        <v>4.8363270319393807</v>
      </c>
      <c r="G48" s="23">
        <v>180</v>
      </c>
      <c r="H48" s="28">
        <v>186.85478740073387</v>
      </c>
    </row>
    <row r="49" spans="2:8" x14ac:dyDescent="0.25">
      <c r="B49" s="29">
        <f t="shared" si="0"/>
        <v>25</v>
      </c>
      <c r="C49" s="23">
        <v>0.98373236144593879</v>
      </c>
      <c r="D49" s="28">
        <v>0.97470762999086968</v>
      </c>
      <c r="E49" s="23">
        <v>0.89826188365215009</v>
      </c>
      <c r="F49" s="23">
        <v>4.3222256510774315</v>
      </c>
      <c r="G49" s="23">
        <v>187.5</v>
      </c>
      <c r="H49" s="28">
        <v>192.72048753472959</v>
      </c>
    </row>
    <row r="50" spans="2:8" x14ac:dyDescent="0.25">
      <c r="B50" s="29">
        <f t="shared" si="0"/>
        <v>26</v>
      </c>
      <c r="C50" s="23">
        <v>0.99121709581349571</v>
      </c>
      <c r="D50" s="28">
        <v>0.98561397677437523</v>
      </c>
      <c r="E50" s="23">
        <v>0.21576625964942539</v>
      </c>
      <c r="F50" s="23">
        <v>3.8950643624220453</v>
      </c>
      <c r="G50" s="23">
        <v>195</v>
      </c>
      <c r="H50" s="28">
        <v>199.11083062207146</v>
      </c>
    </row>
    <row r="51" spans="2:8" x14ac:dyDescent="0.25">
      <c r="B51" s="29">
        <f t="shared" si="0"/>
        <v>27</v>
      </c>
      <c r="C51" s="23">
        <v>0.99539465599371513</v>
      </c>
      <c r="D51" s="28">
        <v>0.99205301692124759</v>
      </c>
      <c r="E51" s="23">
        <v>0</v>
      </c>
      <c r="F51" s="23">
        <v>3.5377720894553697</v>
      </c>
      <c r="G51" s="23">
        <v>202.5</v>
      </c>
      <c r="H51" s="28">
        <v>206.03777208945536</v>
      </c>
    </row>
    <row r="52" spans="2:8" x14ac:dyDescent="0.25">
      <c r="B52" s="29">
        <f t="shared" si="0"/>
        <v>28</v>
      </c>
      <c r="C52" s="23">
        <v>0.99765469209253332</v>
      </c>
      <c r="D52" s="28">
        <v>0.99573638796269093</v>
      </c>
      <c r="E52" s="23">
        <v>0</v>
      </c>
      <c r="F52" s="23">
        <v>3.2365774313234517</v>
      </c>
      <c r="G52" s="23">
        <v>210</v>
      </c>
      <c r="H52" s="28">
        <v>213.23657743132344</v>
      </c>
    </row>
    <row r="53" spans="2:8" x14ac:dyDescent="0.25">
      <c r="B53" s="29">
        <f t="shared" si="0"/>
        <v>29</v>
      </c>
      <c r="C53" s="23">
        <v>0.99883984673596427</v>
      </c>
      <c r="D53" s="28">
        <v>0.99777806792696389</v>
      </c>
      <c r="E53" s="23">
        <v>0</v>
      </c>
      <c r="F53" s="23">
        <v>2.9804953715436793</v>
      </c>
      <c r="G53" s="23">
        <v>217.5</v>
      </c>
      <c r="H53" s="28">
        <v>220.48049537154367</v>
      </c>
    </row>
    <row r="54" spans="2:8" x14ac:dyDescent="0.25">
      <c r="B54" s="29">
        <f t="shared" si="0"/>
        <v>30</v>
      </c>
      <c r="C54" s="23">
        <v>0.99944240153959651</v>
      </c>
      <c r="D54" s="28">
        <v>0.99887494286689671</v>
      </c>
      <c r="E54" s="23">
        <v>0</v>
      </c>
      <c r="F54" s="23">
        <v>2.7608359408866083</v>
      </c>
      <c r="G54" s="23">
        <v>225</v>
      </c>
      <c r="H54" s="28">
        <v>227.76083594088661</v>
      </c>
    </row>
    <row r="55" spans="2:8" x14ac:dyDescent="0.25">
      <c r="B55" s="29">
        <f t="shared" si="0"/>
        <v>31</v>
      </c>
      <c r="C55" s="23">
        <v>0.9997395227091066</v>
      </c>
      <c r="D55" s="28">
        <v>0.99944631790720373</v>
      </c>
      <c r="E55" s="23">
        <v>0</v>
      </c>
      <c r="F55" s="23">
        <v>2.5707587726805601</v>
      </c>
      <c r="G55" s="23">
        <v>232.5</v>
      </c>
      <c r="H55" s="28">
        <v>235.07075877268056</v>
      </c>
    </row>
    <row r="56" spans="2:8" x14ac:dyDescent="0.25">
      <c r="B56" s="29">
        <f t="shared" si="0"/>
        <v>32</v>
      </c>
      <c r="C56" s="23">
        <v>0.99988168484492701</v>
      </c>
      <c r="D56" s="28">
        <v>0.99973504715416561</v>
      </c>
      <c r="E56" s="23">
        <v>0</v>
      </c>
      <c r="F56" s="23">
        <v>2.4048878454459888</v>
      </c>
      <c r="G56" s="23">
        <v>240</v>
      </c>
      <c r="H56" s="28">
        <v>242.40488784544598</v>
      </c>
    </row>
    <row r="57" spans="2:8" x14ac:dyDescent="0.25">
      <c r="B57" s="29">
        <f t="shared" si="0"/>
        <v>33</v>
      </c>
      <c r="C57" s="23">
        <v>0.99994772023606404</v>
      </c>
      <c r="D57" s="28">
        <v>0.99987666128226016</v>
      </c>
      <c r="E57" s="23">
        <v>0</v>
      </c>
      <c r="F57" s="23">
        <v>2.2589912060393673</v>
      </c>
      <c r="G57" s="23">
        <v>247.5</v>
      </c>
      <c r="H57" s="28">
        <v>249.75899120603935</v>
      </c>
    </row>
    <row r="58" spans="2:8" x14ac:dyDescent="0.25">
      <c r="B58" s="29">
        <f t="shared" si="0"/>
        <v>34</v>
      </c>
      <c r="C58" s="23">
        <v>0.99997751651114708</v>
      </c>
      <c r="D58" s="28">
        <v>0.99994411862105015</v>
      </c>
      <c r="E58" s="23">
        <v>0</v>
      </c>
      <c r="F58" s="23">
        <v>2.1297231076840459</v>
      </c>
      <c r="G58" s="23">
        <v>255</v>
      </c>
      <c r="H58" s="28">
        <v>257.12972310768407</v>
      </c>
    </row>
    <row r="59" spans="2:8" x14ac:dyDescent="0.25">
      <c r="B59" s="29">
        <f t="shared" si="0"/>
        <v>35</v>
      </c>
      <c r="C59" s="23">
        <v>0.99999058429279897</v>
      </c>
      <c r="D59" s="28">
        <v>0.99997534562736556</v>
      </c>
      <c r="E59" s="23">
        <v>0</v>
      </c>
      <c r="F59" s="23">
        <v>2.0144214658317035</v>
      </c>
      <c r="G59" s="23">
        <v>262.5</v>
      </c>
      <c r="H59" s="28">
        <v>264.51442146583173</v>
      </c>
    </row>
    <row r="60" spans="2:8" x14ac:dyDescent="0.25">
      <c r="B60" s="29">
        <f t="shared" si="0"/>
        <v>36</v>
      </c>
      <c r="C60" s="23">
        <v>0.99999615826244903</v>
      </c>
      <c r="D60" s="28">
        <v>0.99998940242976764</v>
      </c>
      <c r="E60" s="23">
        <v>0</v>
      </c>
      <c r="F60" s="23">
        <v>1.9109515627070088</v>
      </c>
      <c r="G60" s="23">
        <v>270</v>
      </c>
      <c r="H60" s="28">
        <v>271.910951562707</v>
      </c>
    </row>
    <row r="61" spans="2:8" x14ac:dyDescent="0.25">
      <c r="B61" s="29">
        <f t="shared" si="0"/>
        <v>37</v>
      </c>
      <c r="C61" s="23">
        <v>0.99999847202863945</v>
      </c>
      <c r="D61" s="28">
        <v>0.99999555950459695</v>
      </c>
      <c r="E61" s="23">
        <v>0</v>
      </c>
      <c r="F61" s="23">
        <v>1.8175867993224133</v>
      </c>
      <c r="G61" s="23">
        <v>277.5</v>
      </c>
      <c r="H61" s="28">
        <v>279.31758679932244</v>
      </c>
    </row>
    <row r="62" spans="2:8" x14ac:dyDescent="0.25">
      <c r="B62" s="29">
        <f t="shared" si="0"/>
        <v>38</v>
      </c>
      <c r="C62" s="23">
        <v>0.99999940729116343</v>
      </c>
      <c r="D62" s="28">
        <v>0.99999818534022455</v>
      </c>
      <c r="E62" s="23">
        <v>0</v>
      </c>
      <c r="F62" s="23">
        <v>1.7329182275418298</v>
      </c>
      <c r="G62" s="23">
        <v>285</v>
      </c>
      <c r="H62" s="28">
        <v>286.7329182275418</v>
      </c>
    </row>
    <row r="63" spans="2:8" x14ac:dyDescent="0.25">
      <c r="B63" s="29">
        <f t="shared" si="0"/>
        <v>39</v>
      </c>
      <c r="C63" s="23">
        <v>0.99999977564842246</v>
      </c>
      <c r="D63" s="28">
        <v>0.99999927636337727</v>
      </c>
      <c r="E63" s="23">
        <v>0</v>
      </c>
      <c r="F63" s="23">
        <v>1.6557859786700884</v>
      </c>
      <c r="G63" s="23">
        <v>292.5</v>
      </c>
      <c r="H63" s="28">
        <v>294.15578597867011</v>
      </c>
    </row>
    <row r="64" spans="2:8" x14ac:dyDescent="0.25">
      <c r="B64" s="29">
        <f t="shared" si="0"/>
        <v>40</v>
      </c>
      <c r="C64" s="23">
        <v>0.9999999170918763</v>
      </c>
      <c r="D64" s="28">
        <v>0.99999971827453993</v>
      </c>
      <c r="E64" s="23">
        <v>0</v>
      </c>
      <c r="F64" s="23">
        <v>1.585227141299054</v>
      </c>
      <c r="G64" s="23">
        <v>300</v>
      </c>
      <c r="H64" s="28">
        <v>301.58522714129907</v>
      </c>
    </row>
    <row r="65" spans="2:8" x14ac:dyDescent="0.25">
      <c r="B65" s="29">
        <f t="shared" si="0"/>
        <v>41</v>
      </c>
      <c r="C65" s="23">
        <v>0.99999997007328734</v>
      </c>
      <c r="D65" s="28">
        <v>0.99999989286641844</v>
      </c>
      <c r="E65" s="23">
        <v>0</v>
      </c>
      <c r="F65" s="23">
        <v>1.5204359218008023</v>
      </c>
      <c r="G65" s="23">
        <v>307.5</v>
      </c>
      <c r="H65" s="28">
        <v>309.02043592180081</v>
      </c>
    </row>
    <row r="66" spans="2:8" x14ac:dyDescent="0.25">
      <c r="B66" s="29">
        <f t="shared" si="0"/>
        <v>42</v>
      </c>
      <c r="C66" s="23">
        <v>0.99999998944342161</v>
      </c>
      <c r="D66" s="28">
        <v>0.99999996018677262</v>
      </c>
      <c r="E66" s="23">
        <v>0</v>
      </c>
      <c r="F66" s="23">
        <v>1.4607329688728512</v>
      </c>
      <c r="G66" s="23">
        <v>315</v>
      </c>
      <c r="H66" s="28">
        <v>316.46073296887283</v>
      </c>
    </row>
    <row r="67" spans="2:8" x14ac:dyDescent="0.25">
      <c r="B67" s="29">
        <f t="shared" si="0"/>
        <v>43</v>
      </c>
      <c r="C67" s="23">
        <v>0.99999999635923997</v>
      </c>
      <c r="D67" s="28">
        <v>0.9999999855344861</v>
      </c>
      <c r="E67" s="23">
        <v>0</v>
      </c>
      <c r="F67" s="23">
        <v>1.4055415565956069</v>
      </c>
      <c r="G67" s="23">
        <v>322.5</v>
      </c>
      <c r="H67" s="28">
        <v>323.90554155659561</v>
      </c>
    </row>
    <row r="68" spans="2:8" x14ac:dyDescent="0.25">
      <c r="B68" s="29">
        <f t="shared" si="0"/>
        <v>44</v>
      </c>
      <c r="C68" s="23">
        <v>0.99999999877181944</v>
      </c>
      <c r="D68" s="28">
        <v>0.99999999485907087</v>
      </c>
      <c r="E68" s="23">
        <v>0</v>
      </c>
      <c r="F68" s="23">
        <v>1.3543689303754252</v>
      </c>
      <c r="G68" s="23">
        <v>330</v>
      </c>
      <c r="H68" s="28">
        <v>331.35436893037541</v>
      </c>
    </row>
    <row r="69" spans="2:8" x14ac:dyDescent="0.25">
      <c r="B69" s="29">
        <f t="shared" si="0"/>
        <v>45</v>
      </c>
      <c r="C69" s="23">
        <v>0.99999999959456221</v>
      </c>
      <c r="D69" s="28">
        <v>0.99999999821210839</v>
      </c>
      <c r="E69" s="23">
        <v>0</v>
      </c>
      <c r="F69" s="23">
        <v>1.3067915685568283</v>
      </c>
      <c r="G69" s="23">
        <v>337.5</v>
      </c>
      <c r="H69" s="28">
        <v>338.80679156855683</v>
      </c>
    </row>
    <row r="70" spans="2:8" x14ac:dyDescent="0.25">
      <c r="B70" s="29">
        <f t="shared" si="0"/>
        <v>46</v>
      </c>
      <c r="C70" s="23">
        <v>0.99999999986897248</v>
      </c>
      <c r="D70" s="28">
        <v>0.99999999939128048</v>
      </c>
      <c r="E70" s="23">
        <v>0</v>
      </c>
      <c r="F70" s="23">
        <v>1.2624434387486125</v>
      </c>
      <c r="G70" s="23">
        <v>345</v>
      </c>
      <c r="H70" s="28">
        <v>346.26244343874862</v>
      </c>
    </row>
    <row r="71" spans="2:8" x14ac:dyDescent="0.25">
      <c r="B71" s="29">
        <f t="shared" si="0"/>
        <v>47</v>
      </c>
      <c r="C71" s="23">
        <v>0.99999999995852784</v>
      </c>
      <c r="D71" s="28">
        <v>0.99999999979702225</v>
      </c>
      <c r="E71" s="23">
        <v>0</v>
      </c>
      <c r="F71" s="23">
        <v>1.2210065645007846</v>
      </c>
      <c r="G71" s="23">
        <v>352.5</v>
      </c>
      <c r="H71" s="28">
        <v>353.72100656450078</v>
      </c>
    </row>
    <row r="72" spans="2:8" x14ac:dyDescent="0.25">
      <c r="B72" s="29">
        <f t="shared" si="0"/>
        <v>48</v>
      </c>
      <c r="C72" s="23">
        <v>0.99999999998713895</v>
      </c>
      <c r="D72" s="28">
        <v>0.9999999999336856</v>
      </c>
      <c r="E72" s="23">
        <v>0</v>
      </c>
      <c r="F72" s="23">
        <v>1.1822033898153039</v>
      </c>
      <c r="G72" s="23">
        <v>360</v>
      </c>
      <c r="H72" s="28">
        <v>361.1822033898153</v>
      </c>
    </row>
    <row r="73" spans="2:8" x14ac:dyDescent="0.25">
      <c r="B73" s="29">
        <f t="shared" si="0"/>
        <v>49</v>
      </c>
      <c r="C73" s="23">
        <v>0.99999999999609068</v>
      </c>
      <c r="D73" s="28">
        <v>0.99999999997876454</v>
      </c>
      <c r="E73" s="23">
        <v>0</v>
      </c>
      <c r="F73" s="23">
        <v>1.1457905544103053</v>
      </c>
      <c r="G73" s="23">
        <v>367.5</v>
      </c>
      <c r="H73" s="28">
        <v>368.64579055441033</v>
      </c>
    </row>
    <row r="74" spans="2:8" x14ac:dyDescent="0.25">
      <c r="B74" s="29">
        <f t="shared" si="0"/>
        <v>50</v>
      </c>
      <c r="C74" s="23">
        <v>0.99999999999883493</v>
      </c>
      <c r="D74" s="28">
        <v>0.99999999999333233</v>
      </c>
      <c r="E74" s="23">
        <v>0</v>
      </c>
      <c r="F74" s="23">
        <v>1.1115537848592627</v>
      </c>
      <c r="G74" s="23">
        <v>375</v>
      </c>
      <c r="H74" s="28">
        <v>376.11155378485927</v>
      </c>
    </row>
    <row r="75" spans="2:8" x14ac:dyDescent="0.25">
      <c r="B75" s="29">
        <f t="shared" si="0"/>
        <v>51</v>
      </c>
      <c r="C75" s="23">
        <v>0.99999999999965938</v>
      </c>
      <c r="D75" s="28">
        <v>0.99999999999794642</v>
      </c>
      <c r="E75" s="23">
        <v>0</v>
      </c>
      <c r="F75" s="23">
        <v>1.0793036750479883</v>
      </c>
      <c r="G75" s="23">
        <v>382.5</v>
      </c>
      <c r="H75" s="28">
        <v>383.57930367504798</v>
      </c>
    </row>
    <row r="76" spans="2:8" x14ac:dyDescent="0.25">
      <c r="B76" s="29">
        <f t="shared" si="0"/>
        <v>52</v>
      </c>
      <c r="C76" s="23">
        <v>0.9999999999999023</v>
      </c>
      <c r="D76" s="28">
        <v>0.99999999999937939</v>
      </c>
      <c r="E76" s="23">
        <v>0</v>
      </c>
      <c r="F76" s="23">
        <v>1.0488721804510253</v>
      </c>
      <c r="G76" s="23">
        <v>390</v>
      </c>
      <c r="H76" s="28">
        <v>391.04887218045104</v>
      </c>
    </row>
    <row r="77" spans="2:8" x14ac:dyDescent="0.25">
      <c r="B77" s="29">
        <f t="shared" si="0"/>
        <v>53</v>
      </c>
      <c r="C77" s="23">
        <v>0.99999999999997247</v>
      </c>
      <c r="D77" s="28">
        <v>0.99999999999981593</v>
      </c>
      <c r="E77" s="23">
        <v>0</v>
      </c>
      <c r="F77" s="23">
        <v>1.0201096892138659</v>
      </c>
      <c r="G77" s="23">
        <v>397.5</v>
      </c>
      <c r="H77" s="28">
        <v>398.52010968921388</v>
      </c>
    </row>
    <row r="78" spans="2:8" x14ac:dyDescent="0.25">
      <c r="B78" s="29">
        <f t="shared" si="0"/>
        <v>54</v>
      </c>
      <c r="C78" s="23">
        <v>0.99999999999999245</v>
      </c>
      <c r="D78" s="28">
        <v>0.99999999999994638</v>
      </c>
      <c r="E78" s="23">
        <v>0</v>
      </c>
      <c r="F78" s="23">
        <v>0.99288256227757277</v>
      </c>
      <c r="G78" s="23">
        <v>405</v>
      </c>
      <c r="H78" s="28">
        <v>405.9928825622776</v>
      </c>
    </row>
    <row r="79" spans="2:8" x14ac:dyDescent="0.25">
      <c r="B79" s="29">
        <f t="shared" si="0"/>
        <v>55</v>
      </c>
      <c r="C79" s="23">
        <v>0.99999999999999789</v>
      </c>
      <c r="D79" s="28">
        <v>0.99999999999998468</v>
      </c>
      <c r="E79" s="23">
        <v>0</v>
      </c>
      <c r="F79" s="23">
        <v>0.9670710571923723</v>
      </c>
      <c r="G79" s="23">
        <v>412.5</v>
      </c>
      <c r="H79" s="28">
        <v>413.46707105719236</v>
      </c>
    </row>
    <row r="80" spans="2:8" x14ac:dyDescent="0.25">
      <c r="B80" s="29">
        <f t="shared" si="0"/>
        <v>56</v>
      </c>
      <c r="C80" s="23">
        <v>0.99999999999999944</v>
      </c>
      <c r="D80" s="28">
        <v>0.99999999999999567</v>
      </c>
      <c r="E80" s="23">
        <v>0</v>
      </c>
      <c r="F80" s="23">
        <v>0.9425675675675671</v>
      </c>
      <c r="G80" s="23">
        <v>420</v>
      </c>
      <c r="H80" s="28">
        <v>420.94256756756755</v>
      </c>
    </row>
    <row r="81" spans="2:8" x14ac:dyDescent="0.25">
      <c r="B81" s="29">
        <f t="shared" si="0"/>
        <v>57</v>
      </c>
      <c r="C81" s="23">
        <v>0.99999999999999989</v>
      </c>
      <c r="D81" s="28">
        <v>0.99999999999999878</v>
      </c>
      <c r="E81" s="23">
        <v>0</v>
      </c>
      <c r="F81" s="23">
        <v>0.91927512355848429</v>
      </c>
      <c r="G81" s="23">
        <v>427.5</v>
      </c>
      <c r="H81" s="28">
        <v>428.41927512355846</v>
      </c>
    </row>
    <row r="82" spans="2:8" x14ac:dyDescent="0.25">
      <c r="B82" s="29">
        <f t="shared" si="0"/>
        <v>58</v>
      </c>
      <c r="C82" s="23">
        <v>1</v>
      </c>
      <c r="D82" s="28">
        <v>0.99999999999999967</v>
      </c>
      <c r="E82" s="23">
        <v>0</v>
      </c>
      <c r="F82" s="23">
        <v>0.89710610932475887</v>
      </c>
      <c r="G82" s="23">
        <v>435</v>
      </c>
      <c r="H82" s="28">
        <v>435.89710610932474</v>
      </c>
    </row>
    <row r="83" spans="2:8" x14ac:dyDescent="0.25">
      <c r="B83" s="29">
        <f t="shared" si="0"/>
        <v>59</v>
      </c>
      <c r="C83" s="23">
        <v>1</v>
      </c>
      <c r="D83" s="28">
        <v>0.99999999999999989</v>
      </c>
      <c r="E83" s="23">
        <v>0</v>
      </c>
      <c r="F83" s="23">
        <v>0.87598116169544737</v>
      </c>
      <c r="G83" s="23">
        <v>442.5</v>
      </c>
      <c r="H83" s="28">
        <v>443.37598116169545</v>
      </c>
    </row>
    <row r="84" spans="2:8" x14ac:dyDescent="0.25">
      <c r="B84" s="29">
        <f t="shared" si="0"/>
        <v>60</v>
      </c>
      <c r="C84" s="23">
        <v>1</v>
      </c>
      <c r="D84" s="28">
        <v>1</v>
      </c>
      <c r="E84" s="23">
        <v>0</v>
      </c>
      <c r="F84" s="23">
        <v>0.85582822085889576</v>
      </c>
      <c r="G84" s="23">
        <v>450</v>
      </c>
      <c r="H84" s="28">
        <v>450.85582822085888</v>
      </c>
    </row>
    <row r="85" spans="2:8" x14ac:dyDescent="0.25">
      <c r="B85" s="29">
        <f t="shared" si="0"/>
        <v>61</v>
      </c>
      <c r="C85" s="23">
        <v>1</v>
      </c>
      <c r="D85" s="28">
        <v>1</v>
      </c>
      <c r="E85" s="23">
        <v>0</v>
      </c>
      <c r="F85" s="23">
        <v>0.83658170914542729</v>
      </c>
      <c r="G85" s="23">
        <v>457.5</v>
      </c>
      <c r="H85" s="28">
        <v>458.33658170914543</v>
      </c>
    </row>
    <row r="86" spans="2:8" x14ac:dyDescent="0.25">
      <c r="B86" s="29">
        <f t="shared" si="0"/>
        <v>62</v>
      </c>
      <c r="C86" s="23">
        <v>1</v>
      </c>
      <c r="D86" s="28">
        <v>1</v>
      </c>
      <c r="E86" s="23">
        <v>0</v>
      </c>
      <c r="F86" s="23">
        <v>0.81818181818181823</v>
      </c>
      <c r="G86" s="23">
        <v>465</v>
      </c>
      <c r="H86" s="28">
        <v>465.81818181818181</v>
      </c>
    </row>
    <row r="87" spans="2:8" x14ac:dyDescent="0.25">
      <c r="B87" s="29">
        <f t="shared" si="0"/>
        <v>63</v>
      </c>
      <c r="C87" s="23">
        <v>1</v>
      </c>
      <c r="D87" s="28">
        <v>1</v>
      </c>
      <c r="E87" s="23">
        <v>0</v>
      </c>
      <c r="F87" s="23">
        <v>0.80057388809182217</v>
      </c>
      <c r="G87" s="23">
        <v>472.5</v>
      </c>
      <c r="H87" s="28">
        <v>473.30057388809183</v>
      </c>
    </row>
    <row r="88" spans="2:8" x14ac:dyDescent="0.25">
      <c r="B88" s="29">
        <f t="shared" si="0"/>
        <v>64</v>
      </c>
      <c r="C88" s="23">
        <v>1</v>
      </c>
      <c r="D88" s="28">
        <v>1</v>
      </c>
      <c r="E88" s="23">
        <v>0</v>
      </c>
      <c r="F88" s="23">
        <v>0.78370786516853919</v>
      </c>
      <c r="G88" s="23">
        <v>480</v>
      </c>
      <c r="H88" s="28">
        <v>480.78370786516854</v>
      </c>
    </row>
    <row r="89" spans="2:8" x14ac:dyDescent="0.25">
      <c r="B89" s="29">
        <f t="shared" si="0"/>
        <v>65</v>
      </c>
      <c r="C89" s="23">
        <v>1</v>
      </c>
      <c r="D89" s="28">
        <v>1</v>
      </c>
      <c r="E89" s="23">
        <v>0</v>
      </c>
      <c r="F89" s="23">
        <v>0.76753782668500681</v>
      </c>
      <c r="G89" s="23">
        <v>487.5</v>
      </c>
      <c r="H89" s="28">
        <v>488.26753782668499</v>
      </c>
    </row>
    <row r="90" spans="2:8" x14ac:dyDescent="0.25">
      <c r="B90" s="29">
        <f t="shared" ref="B90:B124" si="1">B89+1</f>
        <v>66</v>
      </c>
      <c r="C90" s="23">
        <v>1</v>
      </c>
      <c r="D90" s="28">
        <v>1</v>
      </c>
      <c r="E90" s="23">
        <v>0</v>
      </c>
      <c r="F90" s="23">
        <v>0.75202156334231818</v>
      </c>
      <c r="G90" s="23">
        <v>495</v>
      </c>
      <c r="H90" s="28">
        <v>495.75202156334234</v>
      </c>
    </row>
    <row r="91" spans="2:8" x14ac:dyDescent="0.25">
      <c r="B91" s="29">
        <f t="shared" si="1"/>
        <v>67</v>
      </c>
      <c r="C91" s="23">
        <v>1</v>
      </c>
      <c r="D91" s="28">
        <v>1</v>
      </c>
      <c r="E91" s="23">
        <v>0</v>
      </c>
      <c r="F91" s="23">
        <v>0.7371202113606341</v>
      </c>
      <c r="G91" s="23">
        <v>502.5</v>
      </c>
      <c r="H91" s="28">
        <v>503.23712021136066</v>
      </c>
    </row>
    <row r="92" spans="2:8" x14ac:dyDescent="0.25">
      <c r="B92" s="29">
        <f t="shared" si="1"/>
        <v>68</v>
      </c>
      <c r="C92" s="23">
        <v>1</v>
      </c>
      <c r="D92" s="28">
        <v>1</v>
      </c>
      <c r="E92" s="23">
        <v>0</v>
      </c>
      <c r="F92" s="23">
        <v>0.72279792746114002</v>
      </c>
      <c r="G92" s="23">
        <v>510</v>
      </c>
      <c r="H92" s="28">
        <v>510.72279792746116</v>
      </c>
    </row>
    <row r="93" spans="2:8" x14ac:dyDescent="0.25">
      <c r="B93" s="29">
        <f t="shared" si="1"/>
        <v>69</v>
      </c>
      <c r="C93" s="23">
        <v>1</v>
      </c>
      <c r="D93" s="28">
        <v>1</v>
      </c>
      <c r="E93" s="23">
        <v>0</v>
      </c>
      <c r="F93" s="23">
        <v>0.70902160101651845</v>
      </c>
      <c r="G93" s="23">
        <v>517.5</v>
      </c>
      <c r="H93" s="28">
        <v>518.2090216010165</v>
      </c>
    </row>
    <row r="94" spans="2:8" x14ac:dyDescent="0.25">
      <c r="B94" s="29">
        <f t="shared" si="1"/>
        <v>70</v>
      </c>
      <c r="C94" s="23">
        <v>1</v>
      </c>
      <c r="D94" s="28">
        <v>1</v>
      </c>
      <c r="E94" s="23">
        <v>0</v>
      </c>
      <c r="F94" s="23">
        <v>0.69576059850374061</v>
      </c>
      <c r="G94" s="23">
        <v>525</v>
      </c>
      <c r="H94" s="28">
        <v>525.69576059850374</v>
      </c>
    </row>
    <row r="95" spans="2:8" x14ac:dyDescent="0.25">
      <c r="B95" s="29">
        <f t="shared" si="1"/>
        <v>71</v>
      </c>
      <c r="C95" s="23">
        <v>1</v>
      </c>
      <c r="D95" s="28">
        <v>1</v>
      </c>
      <c r="E95" s="23">
        <v>0</v>
      </c>
      <c r="F95" s="23">
        <v>0.6829865361077111</v>
      </c>
      <c r="G95" s="23">
        <v>532.5</v>
      </c>
      <c r="H95" s="28">
        <v>533.18298653610771</v>
      </c>
    </row>
    <row r="96" spans="2:8" x14ac:dyDescent="0.25">
      <c r="B96" s="29">
        <f t="shared" si="1"/>
        <v>72</v>
      </c>
      <c r="C96" s="23">
        <v>1</v>
      </c>
      <c r="D96" s="28">
        <v>1</v>
      </c>
      <c r="E96" s="23">
        <v>0</v>
      </c>
      <c r="F96" s="23">
        <v>0.67067307692307687</v>
      </c>
      <c r="G96" s="23">
        <v>540</v>
      </c>
      <c r="H96" s="28">
        <v>540.67067307692309</v>
      </c>
    </row>
    <row r="97" spans="2:8" x14ac:dyDescent="0.25">
      <c r="B97" s="29">
        <f t="shared" si="1"/>
        <v>73</v>
      </c>
      <c r="C97" s="23">
        <v>1</v>
      </c>
      <c r="D97" s="28">
        <v>1</v>
      </c>
      <c r="E97" s="23">
        <v>0</v>
      </c>
      <c r="F97" s="23">
        <v>0.65879574970484056</v>
      </c>
      <c r="G97" s="23">
        <v>547.5</v>
      </c>
      <c r="H97" s="28">
        <v>548.15879574970484</v>
      </c>
    </row>
    <row r="98" spans="2:8" x14ac:dyDescent="0.25">
      <c r="B98" s="29">
        <f t="shared" si="1"/>
        <v>74</v>
      </c>
      <c r="C98" s="23">
        <v>1</v>
      </c>
      <c r="D98" s="28">
        <v>1</v>
      </c>
      <c r="E98" s="23">
        <v>0</v>
      </c>
      <c r="F98" s="23">
        <v>0.64733178654292345</v>
      </c>
      <c r="G98" s="23">
        <v>555</v>
      </c>
      <c r="H98" s="28">
        <v>555.64733178654296</v>
      </c>
    </row>
    <row r="99" spans="2:8" x14ac:dyDescent="0.25">
      <c r="B99" s="29">
        <f t="shared" si="1"/>
        <v>75</v>
      </c>
      <c r="C99" s="23">
        <v>1</v>
      </c>
      <c r="D99" s="28">
        <v>1</v>
      </c>
      <c r="E99" s="23">
        <v>0</v>
      </c>
      <c r="F99" s="23">
        <v>0.63625997719498295</v>
      </c>
      <c r="G99" s="23">
        <v>562.5</v>
      </c>
      <c r="H99" s="28">
        <v>563.13625997719498</v>
      </c>
    </row>
    <row r="100" spans="2:8" x14ac:dyDescent="0.25">
      <c r="B100" s="29">
        <f t="shared" si="1"/>
        <v>76</v>
      </c>
      <c r="C100" s="23">
        <v>1</v>
      </c>
      <c r="D100" s="28">
        <v>1</v>
      </c>
      <c r="E100" s="23">
        <v>0</v>
      </c>
      <c r="F100" s="23">
        <v>0.62556053811659185</v>
      </c>
      <c r="G100" s="23">
        <v>570</v>
      </c>
      <c r="H100" s="28">
        <v>570.62556053811659</v>
      </c>
    </row>
    <row r="101" spans="2:8" x14ac:dyDescent="0.25">
      <c r="B101" s="29">
        <f t="shared" si="1"/>
        <v>77</v>
      </c>
      <c r="C101" s="23">
        <v>1</v>
      </c>
      <c r="D101" s="28">
        <v>1</v>
      </c>
      <c r="E101" s="23">
        <v>0</v>
      </c>
      <c r="F101" s="23">
        <v>0.61521499448732087</v>
      </c>
      <c r="G101" s="23">
        <v>577.5</v>
      </c>
      <c r="H101" s="28">
        <v>578.11521499448736</v>
      </c>
    </row>
    <row r="102" spans="2:8" x14ac:dyDescent="0.25">
      <c r="B102" s="29">
        <f t="shared" si="1"/>
        <v>78</v>
      </c>
      <c r="C102" s="23">
        <v>1</v>
      </c>
      <c r="D102" s="28">
        <v>1</v>
      </c>
      <c r="E102" s="23">
        <v>0</v>
      </c>
      <c r="F102" s="23">
        <v>0.60520607375271152</v>
      </c>
      <c r="G102" s="23">
        <v>585</v>
      </c>
      <c r="H102" s="28">
        <v>585.6052060737527</v>
      </c>
    </row>
    <row r="103" spans="2:8" x14ac:dyDescent="0.25">
      <c r="B103" s="29">
        <f t="shared" si="1"/>
        <v>79</v>
      </c>
      <c r="C103" s="23">
        <v>1</v>
      </c>
      <c r="D103" s="28">
        <v>1</v>
      </c>
      <c r="E103" s="23">
        <v>0</v>
      </c>
      <c r="F103" s="23">
        <v>0.59551760939167542</v>
      </c>
      <c r="G103" s="23">
        <v>592.5</v>
      </c>
      <c r="H103" s="28">
        <v>593.09551760939166</v>
      </c>
    </row>
    <row r="104" spans="2:8" x14ac:dyDescent="0.25">
      <c r="B104" s="29">
        <f t="shared" si="1"/>
        <v>80</v>
      </c>
      <c r="C104" s="23">
        <v>1</v>
      </c>
      <c r="D104" s="28">
        <v>1</v>
      </c>
      <c r="E104" s="23">
        <v>0</v>
      </c>
      <c r="F104" s="23">
        <v>0.58613445378151252</v>
      </c>
      <c r="G104" s="23">
        <v>600</v>
      </c>
      <c r="H104" s="28">
        <v>600.58613445378148</v>
      </c>
    </row>
    <row r="105" spans="2:8" x14ac:dyDescent="0.25">
      <c r="B105" s="29">
        <f t="shared" si="1"/>
        <v>81</v>
      </c>
      <c r="C105" s="23">
        <v>1</v>
      </c>
      <c r="D105" s="28">
        <v>1</v>
      </c>
      <c r="E105" s="23">
        <v>0</v>
      </c>
      <c r="F105" s="23">
        <v>0.57704239917269906</v>
      </c>
      <c r="G105" s="23">
        <v>607.5</v>
      </c>
      <c r="H105" s="28">
        <v>608.07704239917268</v>
      </c>
    </row>
    <row r="106" spans="2:8" x14ac:dyDescent="0.25">
      <c r="B106" s="29">
        <f t="shared" si="1"/>
        <v>82</v>
      </c>
      <c r="C106" s="23">
        <v>1</v>
      </c>
      <c r="D106" s="28">
        <v>1</v>
      </c>
      <c r="E106" s="23">
        <v>0</v>
      </c>
      <c r="F106" s="23">
        <v>0.56822810590631356</v>
      </c>
      <c r="G106" s="23">
        <v>615</v>
      </c>
      <c r="H106" s="28">
        <v>615.56822810590631</v>
      </c>
    </row>
    <row r="107" spans="2:8" x14ac:dyDescent="0.25">
      <c r="B107" s="29">
        <f t="shared" si="1"/>
        <v>83</v>
      </c>
      <c r="C107" s="23">
        <v>1</v>
      </c>
      <c r="D107" s="28">
        <v>1</v>
      </c>
      <c r="E107" s="23">
        <v>0</v>
      </c>
      <c r="F107" s="23">
        <v>0.55967903711133404</v>
      </c>
      <c r="G107" s="23">
        <v>622.5</v>
      </c>
      <c r="H107" s="28">
        <v>623.05967903711132</v>
      </c>
    </row>
    <row r="108" spans="2:8" x14ac:dyDescent="0.25">
      <c r="B108" s="29">
        <f t="shared" si="1"/>
        <v>84</v>
      </c>
      <c r="C108" s="23">
        <v>1</v>
      </c>
      <c r="D108" s="28">
        <v>1</v>
      </c>
      <c r="E108" s="23">
        <v>0</v>
      </c>
      <c r="F108" s="23">
        <v>0.55138339920948609</v>
      </c>
      <c r="G108" s="23">
        <v>630</v>
      </c>
      <c r="H108" s="28">
        <v>630.5513833992095</v>
      </c>
    </row>
    <row r="109" spans="2:8" x14ac:dyDescent="0.25">
      <c r="B109" s="29">
        <f t="shared" si="1"/>
        <v>85</v>
      </c>
      <c r="C109" s="23">
        <v>1</v>
      </c>
      <c r="D109" s="28">
        <v>1</v>
      </c>
      <c r="E109" s="23">
        <v>0</v>
      </c>
      <c r="F109" s="23">
        <v>0.54333008763388513</v>
      </c>
      <c r="G109" s="23">
        <v>637.5</v>
      </c>
      <c r="H109" s="28">
        <v>638.04333008763388</v>
      </c>
    </row>
    <row r="110" spans="2:8" x14ac:dyDescent="0.25">
      <c r="B110" s="29">
        <f t="shared" si="1"/>
        <v>86</v>
      </c>
      <c r="C110" s="23">
        <v>1</v>
      </c>
      <c r="D110" s="28">
        <v>1</v>
      </c>
      <c r="E110" s="23">
        <v>0</v>
      </c>
      <c r="F110" s="23">
        <v>0.53550863723608444</v>
      </c>
      <c r="G110" s="23">
        <v>645</v>
      </c>
      <c r="H110" s="28">
        <v>645.53550863723603</v>
      </c>
    </row>
    <row r="111" spans="2:8" x14ac:dyDescent="0.25">
      <c r="B111" s="29">
        <f t="shared" si="1"/>
        <v>87</v>
      </c>
      <c r="C111" s="23">
        <v>1</v>
      </c>
      <c r="D111" s="28">
        <v>1</v>
      </c>
      <c r="E111" s="23">
        <v>0</v>
      </c>
      <c r="F111" s="23">
        <v>0.52790917691579942</v>
      </c>
      <c r="G111" s="23">
        <v>652.5</v>
      </c>
      <c r="H111" s="28">
        <v>653.02790917691584</v>
      </c>
    </row>
    <row r="112" spans="2:8" x14ac:dyDescent="0.25">
      <c r="B112" s="29">
        <f t="shared" si="1"/>
        <v>88</v>
      </c>
      <c r="C112" s="23">
        <v>1</v>
      </c>
      <c r="D112" s="28">
        <v>1</v>
      </c>
      <c r="E112" s="23">
        <v>0</v>
      </c>
      <c r="F112" s="23">
        <v>0.52052238805970152</v>
      </c>
      <c r="G112" s="23">
        <v>660</v>
      </c>
      <c r="H112" s="28">
        <v>660.5205223880597</v>
      </c>
    </row>
    <row r="113" spans="2:8" x14ac:dyDescent="0.25">
      <c r="B113" s="29">
        <f t="shared" si="1"/>
        <v>89</v>
      </c>
      <c r="C113" s="23">
        <v>1</v>
      </c>
      <c r="D113" s="28">
        <v>1</v>
      </c>
      <c r="E113" s="23">
        <v>0</v>
      </c>
      <c r="F113" s="23">
        <v>0.51333946642134309</v>
      </c>
      <c r="G113" s="23">
        <v>667.5</v>
      </c>
      <c r="H113" s="28">
        <v>668.01333946642137</v>
      </c>
    </row>
    <row r="114" spans="2:8" x14ac:dyDescent="0.25">
      <c r="B114" s="29">
        <f t="shared" si="1"/>
        <v>90</v>
      </c>
      <c r="C114" s="23">
        <v>1</v>
      </c>
      <c r="D114" s="28">
        <v>1</v>
      </c>
      <c r="E114" s="23">
        <v>0</v>
      </c>
      <c r="F114" s="23">
        <v>0.50635208711433755</v>
      </c>
      <c r="G114" s="23">
        <v>675</v>
      </c>
      <c r="H114" s="28">
        <v>675.50635208711435</v>
      </c>
    </row>
    <row r="115" spans="2:8" x14ac:dyDescent="0.25">
      <c r="B115" s="29">
        <f t="shared" si="1"/>
        <v>91</v>
      </c>
      <c r="C115" s="23">
        <v>1</v>
      </c>
      <c r="D115" s="28">
        <v>1</v>
      </c>
      <c r="E115" s="23">
        <v>0</v>
      </c>
      <c r="F115" s="23">
        <v>0.49955237242614142</v>
      </c>
      <c r="G115" s="23">
        <v>682.5</v>
      </c>
      <c r="H115" s="28">
        <v>682.99955237242614</v>
      </c>
    </row>
    <row r="116" spans="2:8" x14ac:dyDescent="0.25">
      <c r="B116" s="29">
        <f t="shared" si="1"/>
        <v>92</v>
      </c>
      <c r="C116" s="23">
        <v>1</v>
      </c>
      <c r="D116" s="28">
        <v>1</v>
      </c>
      <c r="E116" s="23">
        <v>0</v>
      </c>
      <c r="F116" s="23">
        <v>0.49293286219081273</v>
      </c>
      <c r="G116" s="23">
        <v>690</v>
      </c>
      <c r="H116" s="28">
        <v>690.49293286219086</v>
      </c>
    </row>
    <row r="117" spans="2:8" x14ac:dyDescent="0.25">
      <c r="B117" s="29">
        <f t="shared" si="1"/>
        <v>93</v>
      </c>
      <c r="C117" s="23">
        <v>1</v>
      </c>
      <c r="D117" s="28">
        <v>1</v>
      </c>
      <c r="E117" s="23">
        <v>0</v>
      </c>
      <c r="F117" s="23">
        <v>0.48648648648648651</v>
      </c>
      <c r="G117" s="23">
        <v>697.5</v>
      </c>
      <c r="H117" s="28">
        <v>697.98648648648646</v>
      </c>
    </row>
    <row r="118" spans="2:8" x14ac:dyDescent="0.25">
      <c r="B118" s="29">
        <f t="shared" si="1"/>
        <v>94</v>
      </c>
      <c r="C118" s="23">
        <v>1</v>
      </c>
      <c r="D118" s="28">
        <v>1</v>
      </c>
      <c r="E118" s="23">
        <v>0</v>
      </c>
      <c r="F118" s="23">
        <v>0.48020654044750433</v>
      </c>
      <c r="G118" s="23">
        <v>705</v>
      </c>
      <c r="H118" s="28">
        <v>705.48020654044751</v>
      </c>
    </row>
    <row r="119" spans="2:8" x14ac:dyDescent="0.25">
      <c r="B119" s="29">
        <f t="shared" si="1"/>
        <v>95</v>
      </c>
      <c r="C119" s="23">
        <v>1</v>
      </c>
      <c r="D119" s="28">
        <v>1</v>
      </c>
      <c r="E119" s="23">
        <v>0</v>
      </c>
      <c r="F119" s="23">
        <v>0.47408666100254887</v>
      </c>
      <c r="G119" s="23">
        <v>712.5</v>
      </c>
      <c r="H119" s="28">
        <v>712.9740866610025</v>
      </c>
    </row>
    <row r="120" spans="2:8" x14ac:dyDescent="0.25">
      <c r="B120" s="29">
        <f t="shared" si="1"/>
        <v>96</v>
      </c>
      <c r="C120" s="23">
        <v>1</v>
      </c>
      <c r="D120" s="28">
        <v>1</v>
      </c>
      <c r="E120" s="23">
        <v>0</v>
      </c>
      <c r="F120" s="23">
        <v>0.46812080536912754</v>
      </c>
      <c r="G120" s="23">
        <v>720</v>
      </c>
      <c r="H120" s="28">
        <v>720.46812080536915</v>
      </c>
    </row>
    <row r="121" spans="2:8" x14ac:dyDescent="0.25">
      <c r="B121" s="29">
        <f t="shared" si="1"/>
        <v>97</v>
      </c>
      <c r="C121" s="23">
        <v>1</v>
      </c>
      <c r="D121" s="28">
        <v>1</v>
      </c>
      <c r="E121" s="23">
        <v>0</v>
      </c>
      <c r="F121" s="23">
        <v>0.46230323115161553</v>
      </c>
      <c r="G121" s="23">
        <v>727.5</v>
      </c>
      <c r="H121" s="28">
        <v>727.96230323115162</v>
      </c>
    </row>
    <row r="122" spans="2:8" x14ac:dyDescent="0.25">
      <c r="B122" s="29">
        <f t="shared" si="1"/>
        <v>98</v>
      </c>
      <c r="C122" s="23">
        <v>1</v>
      </c>
      <c r="D122" s="28">
        <v>1</v>
      </c>
      <c r="E122" s="23">
        <v>0</v>
      </c>
      <c r="F122" s="23">
        <v>0.45662847790507366</v>
      </c>
      <c r="G122" s="23">
        <v>735</v>
      </c>
      <c r="H122" s="28">
        <v>735.45662847790504</v>
      </c>
    </row>
    <row r="123" spans="2:8" x14ac:dyDescent="0.25">
      <c r="B123" s="29">
        <f t="shared" si="1"/>
        <v>99</v>
      </c>
      <c r="C123" s="23">
        <v>1</v>
      </c>
      <c r="D123" s="28">
        <v>1</v>
      </c>
      <c r="E123" s="23">
        <v>0</v>
      </c>
      <c r="F123" s="23">
        <v>0.45109135004042039</v>
      </c>
      <c r="G123" s="23">
        <v>742.5</v>
      </c>
      <c r="H123" s="28">
        <v>742.95109135004043</v>
      </c>
    </row>
    <row r="124" spans="2:8" x14ac:dyDescent="0.25">
      <c r="B124" s="29">
        <f t="shared" si="1"/>
        <v>100</v>
      </c>
      <c r="C124" s="23">
        <v>1</v>
      </c>
      <c r="D124" s="28">
        <v>1</v>
      </c>
      <c r="E124" s="23">
        <v>0</v>
      </c>
      <c r="F124" s="23">
        <v>0.44568690095846641</v>
      </c>
      <c r="G124" s="23">
        <v>750</v>
      </c>
      <c r="H124" s="28">
        <v>750.44568690095844</v>
      </c>
    </row>
    <row r="125" spans="2:8" x14ac:dyDescent="0.25">
      <c r="H125" s="26">
        <f>IF(H124&lt;&gt;"",MATCH(MIN(H25:H124),H25:H124,0),"")</f>
        <v>20</v>
      </c>
    </row>
    <row r="199" spans="4:8" x14ac:dyDescent="0.25">
      <c r="D199" s="27"/>
      <c r="H199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4">
              <controlPr defaultSize="0" print="0" autoFill="0" autoPict="0" macro="[0]!Macro2">
                <anchor moveWithCells="1" sizeWithCells="1">
                  <from>
                    <xdr:col>8</xdr:col>
                    <xdr:colOff>0</xdr:colOff>
                    <xdr:row>3</xdr:row>
                    <xdr:rowOff>9525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2015-04-29T19:21:53Z</dcterms:modified>
</cp:coreProperties>
</file>